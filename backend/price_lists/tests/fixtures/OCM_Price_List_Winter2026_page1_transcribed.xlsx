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List" sheetId="1" state="visible" r:id="rId3"/>
    <sheet name="Checks" sheetId="2" state="visible" r:id="rId4"/>
    <sheet name="Read 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Printed as 0A1: zero or letter O? Entered with a zero. Verify on paper.</t>
        </r>
      </text>
    </comment>
    <comment ref="C19" authorId="0">
      <text>
        <r>
          <rPr>
            <sz val="10"/>
            <rFont val="Arial"/>
            <family val="2"/>
          </rPr>
          <t xml:space="preserve">Wrapped over 4 lines in print; typed as one cell, 68 shade values, trailing comma kept as printed. Verify on paper.</t>
        </r>
      </text>
    </comment>
    <comment ref="C28" authorId="0">
      <text>
        <r>
          <rPr>
            <sz val="10"/>
            <rFont val="Arial"/>
            <family val="2"/>
          </rPr>
          <t xml:space="preserve">Printed 0W1: zero or letter O? Entered with a zero (also in row 0041031). Verify on paper.</t>
        </r>
      </text>
    </comment>
    <comment ref="F17" authorId="0">
      <text>
        <r>
          <rPr>
            <sz val="10"/>
            <rFont val="Arial"/>
            <family val="2"/>
          </rPr>
          <t xml:space="preserve">A smudge on the photo looked like a minus sign before 1,319. Read as 1,319 (same as the other three AMB rows). Verify on paper.</t>
        </r>
      </text>
    </comment>
  </commentList>
</comments>
</file>

<file path=xl/sharedStrings.xml><?xml version="1.0" encoding="utf-8"?>
<sst xmlns="http://schemas.openxmlformats.org/spreadsheetml/2006/main" count="283" uniqueCount="122">
  <si>
    <t xml:space="preserve">Regular Price List-Winter'2026</t>
  </si>
  <si>
    <t xml:space="preserve">w.e.f 03.06.2026</t>
  </si>
  <si>
    <t xml:space="preserve">Serial No.</t>
  </si>
  <si>
    <t xml:space="preserve">Quality No.</t>
  </si>
  <si>
    <t xml:space="preserve">Shades</t>
  </si>
  <si>
    <t xml:space="preserve">Delivery</t>
  </si>
  <si>
    <t xml:space="preserve">INR Per Mtr.*</t>
  </si>
  <si>
    <t xml:space="preserve">Ex-Mill</t>
  </si>
  <si>
    <t xml:space="preserve">W/S</t>
  </si>
  <si>
    <t xml:space="preserve">Retail</t>
  </si>
  <si>
    <t xml:space="preserve">Woolrite (AI)</t>
  </si>
  <si>
    <t xml:space="preserve">AI-1-2-209-0100100</t>
  </si>
  <si>
    <t xml:space="preserve">1,2,3,4,5,6,7,9,10,11,12,13,14,15,16</t>
  </si>
  <si>
    <t xml:space="preserve">June</t>
  </si>
  <si>
    <t xml:space="preserve">-</t>
  </si>
  <si>
    <t xml:space="preserve">AI-1-2-209-0100101</t>
  </si>
  <si>
    <t xml:space="preserve">1,2,3,4,5,6,7,8,</t>
  </si>
  <si>
    <t xml:space="preserve">AI-1-2-209-0100102</t>
  </si>
  <si>
    <t xml:space="preserve">1,2,3</t>
  </si>
  <si>
    <t xml:space="preserve">AI-1-2-209-0100105</t>
  </si>
  <si>
    <t xml:space="preserve">1</t>
  </si>
  <si>
    <t xml:space="preserve">September</t>
  </si>
  <si>
    <t xml:space="preserve">AI-1-2-209-0100107</t>
  </si>
  <si>
    <t xml:space="preserve">1,3,6,7,</t>
  </si>
  <si>
    <t xml:space="preserve">AI-1-2-209-0100108</t>
  </si>
  <si>
    <t xml:space="preserve">1,2,3,4,</t>
  </si>
  <si>
    <t xml:space="preserve">Ambassador White (AMB)</t>
  </si>
  <si>
    <t xml:space="preserve">AMB-1-1-999-0055101</t>
  </si>
  <si>
    <t xml:space="preserve">0A1</t>
  </si>
  <si>
    <t xml:space="preserve">October</t>
  </si>
  <si>
    <t xml:space="preserve">AMB-1-1-999-0055102</t>
  </si>
  <si>
    <t xml:space="preserve">AMB-1-1-999-0055103</t>
  </si>
  <si>
    <t xml:space="preserve">AMB-1-1-999-0055104</t>
  </si>
  <si>
    <t xml:space="preserve">Aristo (ARO)</t>
  </si>
  <si>
    <t xml:space="preserve">ARO-1-1-105-0041000</t>
  </si>
  <si>
    <t xml:space="preserve">1,2,3,4,5,7,11,12,14,16,17,18,19,20,21,22,23,24,26,27,29,30,31,32,33,34,35,36,37,38,40,41,42,45,46,47,49,50,51,52,55,58,59,61,68,69,70,71,72,73,74,75,76,77,78,79,80,81,82,83,84,85,86,87,88,89,90,91,</t>
  </si>
  <si>
    <t xml:space="preserve">ARO-1-1-105-0041001</t>
  </si>
  <si>
    <t xml:space="preserve">1,2,</t>
  </si>
  <si>
    <t xml:space="preserve">ARO-1-1-105-0041006</t>
  </si>
  <si>
    <t xml:space="preserve">2,4</t>
  </si>
  <si>
    <t xml:space="preserve">ARO-1-1-105-0041009</t>
  </si>
  <si>
    <t xml:space="preserve">July</t>
  </si>
  <si>
    <t xml:space="preserve">ARO-1-1-105-0041017</t>
  </si>
  <si>
    <t xml:space="preserve">ARO-1-1-105-0041019</t>
  </si>
  <si>
    <t xml:space="preserve">ARO-1-1-105-0041022</t>
  </si>
  <si>
    <t xml:space="preserve">ARO-1-1-105-0041023</t>
  </si>
  <si>
    <t xml:space="preserve">2</t>
  </si>
  <si>
    <t xml:space="preserve">ARO-1-1-105-0041024</t>
  </si>
  <si>
    <t xml:space="preserve">1,2,3,4,5,6,7,8,9,10</t>
  </si>
  <si>
    <t xml:space="preserve">ARO-1-1-105-0041026</t>
  </si>
  <si>
    <t xml:space="preserve">1,2,3,5,6,7,9,10,11,12,14,15,16,17,18,19,0W1</t>
  </si>
  <si>
    <t xml:space="preserve">ARO-1-1-105-0041027</t>
  </si>
  <si>
    <t xml:space="preserve">1,2,4,5,</t>
  </si>
  <si>
    <t xml:space="preserve">ARO-1-1-105-0041030</t>
  </si>
  <si>
    <t xml:space="preserve">1,2,3,4,5,6,7,8,9,10,11,12,13,14,15,16,17</t>
  </si>
  <si>
    <t xml:space="preserve">ARO-1-1-105-0041031</t>
  </si>
  <si>
    <t xml:space="preserve">2,3,4,5,6,7,8,9,10,11,12,13,14,15,0W1</t>
  </si>
  <si>
    <t xml:space="preserve">ARO-1-1-105-0041032</t>
  </si>
  <si>
    <t xml:space="preserve">ARO-1-1-105-0041033</t>
  </si>
  <si>
    <t xml:space="preserve">ARO-1-1-105-0041034</t>
  </si>
  <si>
    <t xml:space="preserve">ARO-1-1-105-0041035</t>
  </si>
  <si>
    <t xml:space="preserve">ARO-1-1-105-0041036</t>
  </si>
  <si>
    <t xml:space="preserve">ARO-1-1-105-0041037</t>
  </si>
  <si>
    <t xml:space="preserve">ARO-1-1-105-0041038</t>
  </si>
  <si>
    <t xml:space="preserve">1,2,3,4,5,6,</t>
  </si>
  <si>
    <t xml:space="preserve">ARO-1-1-105-0041039</t>
  </si>
  <si>
    <t xml:space="preserve">ARO-1-1-105-0041040</t>
  </si>
  <si>
    <t xml:space="preserve">1,2,3,4,5</t>
  </si>
  <si>
    <t xml:space="preserve">ARO-1-1-105-0041041</t>
  </si>
  <si>
    <t xml:space="preserve">ARO-1-1-105-0041042</t>
  </si>
  <si>
    <t xml:space="preserve">ARO-1-1-105-0041043</t>
  </si>
  <si>
    <t xml:space="preserve">ARO-1-1-105-0041044</t>
  </si>
  <si>
    <t xml:space="preserve">ARO-1-1-105-0041045</t>
  </si>
  <si>
    <t xml:space="preserve">ARO-1-1-105-0041046</t>
  </si>
  <si>
    <t xml:space="preserve">ARO-1-1-105-0041047</t>
  </si>
  <si>
    <t xml:space="preserve">ARO-1-1-105-0041050</t>
  </si>
  <si>
    <t xml:space="preserve">3,4,5,6</t>
  </si>
  <si>
    <t xml:space="preserve">ARO-1-1-105-0041053</t>
  </si>
  <si>
    <t xml:space="preserve">1,3,</t>
  </si>
  <si>
    <t xml:space="preserve">ARO-1-1-105-0041054</t>
  </si>
  <si>
    <t xml:space="preserve">1,2,3,5</t>
  </si>
  <si>
    <t xml:space="preserve">ARO-1-1-105-0041058</t>
  </si>
  <si>
    <t xml:space="preserve">1,2,5,6,</t>
  </si>
  <si>
    <t xml:space="preserve">ARO-1-1-105-0041060</t>
  </si>
  <si>
    <t xml:space="preserve">1,2,3,4,7,8</t>
  </si>
  <si>
    <t xml:space="preserve">ARO-1-1-105-0041061</t>
  </si>
  <si>
    <t xml:space="preserve">1,2,3,4,7,8,</t>
  </si>
  <si>
    <t xml:space="preserve">ARO-1-1-105-0041062</t>
  </si>
  <si>
    <t xml:space="preserve">ARO-1-1-105-0041063</t>
  </si>
  <si>
    <t xml:space="preserve">ARO-1-1-105-0041064</t>
  </si>
  <si>
    <t xml:space="preserve">2,3,4</t>
  </si>
  <si>
    <t xml:space="preserve">Page 1 of 19</t>
  </si>
  <si>
    <t xml:space="preserve">Self-checks on the transcription (formulas read the 'Price List' sheet)</t>
  </si>
  <si>
    <t xml:space="preserve">Rule: W/S is about 1.32 to 1.33 times Ex-Mill on every printed row. Flag range used: 1.30 to 1.35 (my assumption).</t>
  </si>
  <si>
    <t xml:space="preserve">Check</t>
  </si>
  <si>
    <t xml:space="preserve">Result</t>
  </si>
  <si>
    <t xml:space="preserve">Expected (typed by me)</t>
  </si>
  <si>
    <t xml:space="preserve">Rows transcribed</t>
  </si>
  <si>
    <t xml:space="preserve">Rows flagged CHECK (ratio)</t>
  </si>
  <si>
    <t xml:space="preserve">Rows flagged CHECK (Retail)</t>
  </si>
  <si>
    <t xml:space="preserve">Woolrite (AI) rows</t>
  </si>
  <si>
    <t xml:space="preserve">Ambassador White (AMB) rows</t>
  </si>
  <si>
    <t xml:space="preserve">Aristo (ARO) rows</t>
  </si>
  <si>
    <t xml:space="preserve">Shade values in ARO-1-1-105-0041000</t>
  </si>
  <si>
    <t xml:space="preserve">Collection</t>
  </si>
  <si>
    <t xml:space="preserve">W/S / Ex-Mill</t>
  </si>
  <si>
    <t xml:space="preserve">Ratio check</t>
  </si>
  <si>
    <t xml:space="preserve">Retail &gt; W/S</t>
  </si>
  <si>
    <t xml:space="preserve">Shade values</t>
  </si>
  <si>
    <t xml:space="preserve">Transcription of the OCM price list, page 1 of 19</t>
  </si>
  <si>
    <t xml:space="preserve">Source: a PHOTO of the printed page (Regular Price List-Winter'2026, w.e.f 03.06.2026), read by Claude. This is not OCM's electronic file.</t>
  </si>
  <si>
    <t xml:space="preserve">Contents: 3 collections, 48 rows: Woolrite (AI) 6, Ambassador White (AMB) 4, Aristo (ARO) 38. Pages 2 to 19 are not included.</t>
  </si>
  <si>
    <t xml:space="preserve">The 'Price List' sheet keeps the printed layout on purpose: title lines, the two-level header (INR Per Mtr.* over Ex-Mill, W/S, Retail), collection heading rows and 'Page 1 of 19'. A dash in Retail is kept as a dash, as printed ('not given').</t>
  </si>
  <si>
    <t xml:space="preserve">USE: for testing the price list import. Check every price and shade against the paper before using it as real data.</t>
  </si>
  <si>
    <t xml:space="preserve">Please verify on paper:</t>
  </si>
  <si>
    <t xml:space="preserve">1. The shade values 0A1 and 0W1: zero or letter O? Entered with a zero.</t>
  </si>
  <si>
    <t xml:space="preserve">2. The delivery months of the Aristo rows. The delivery column is slightly offset in the photo, so I matched it by order and by the overlap between enlarged crops. Look closely at rows 4, 10, 24, 25 and 36.</t>
  </si>
  <si>
    <t xml:space="preserve">3. The W/S price of AMB-1-1-999-0055104: a smudge looks like a minus sign; read as 1,319.</t>
  </si>
  <si>
    <t xml:space="preserve">4. The long shade list of ARO-1-1-105-0041000 (68 values).</t>
  </si>
  <si>
    <t xml:space="preserve">5. The quality prefix 'AI': read as capital I, not lowercase L.</t>
  </si>
  <si>
    <t xml:space="preserve">6. The footnote marked * after 'INR Per Mtr.' is not visible on this page and is not recorded.</t>
  </si>
  <si>
    <t xml:space="preserve">The 'Checks' sheet recalculates W/S divided by Ex-Mill for every row and flags any row outside 1.30 to 1.35, which is how a misread digit would show up.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</si>
</sst>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/>
      <c r="G4" s="2"/>
    </row>
    <row r="5" customFormat="false" ht="15" hidden="false" customHeight="false" outlineLevel="0" collapsed="false">
      <c r="A5" s="2"/>
      <c r="B5" s="2"/>
      <c r="C5" s="2"/>
      <c r="D5" s="2"/>
      <c r="E5" s="2" t="s">
        <v>7</v>
      </c>
      <c r="F5" s="2" t="s">
        <v>8</v>
      </c>
      <c r="G5" s="2" t="s">
        <v>9</v>
      </c>
    </row>
    <row r="6" customFormat="false" ht="15" hidden="false" customHeight="false" outlineLevel="0" collapsed="false">
      <c r="A6" s="3" t="s">
        <v>10</v>
      </c>
    </row>
    <row r="7" customFormat="false" ht="15" hidden="false" customHeight="false" outlineLevel="0" collapsed="false">
      <c r="A7" s="4" t="n">
        <v>1</v>
      </c>
      <c r="B7" s="5" t="s">
        <v>11</v>
      </c>
      <c r="C7" s="6" t="s">
        <v>12</v>
      </c>
      <c r="D7" s="4" t="s">
        <v>13</v>
      </c>
      <c r="E7" s="7" t="n">
        <v>1799</v>
      </c>
      <c r="F7" s="7" t="n">
        <v>2375</v>
      </c>
      <c r="G7" s="4" t="s">
        <v>14</v>
      </c>
    </row>
    <row r="8" customFormat="false" ht="15" hidden="false" customHeight="false" outlineLevel="0" collapsed="false">
      <c r="A8" s="4" t="n">
        <v>2</v>
      </c>
      <c r="B8" s="5" t="s">
        <v>15</v>
      </c>
      <c r="C8" s="6" t="s">
        <v>16</v>
      </c>
      <c r="D8" s="4" t="s">
        <v>13</v>
      </c>
      <c r="E8" s="7" t="n">
        <v>1799</v>
      </c>
      <c r="F8" s="7" t="n">
        <v>2375</v>
      </c>
      <c r="G8" s="4" t="s">
        <v>14</v>
      </c>
    </row>
    <row r="9" customFormat="false" ht="15" hidden="false" customHeight="false" outlineLevel="0" collapsed="false">
      <c r="A9" s="4" t="n">
        <v>3</v>
      </c>
      <c r="B9" s="5" t="s">
        <v>17</v>
      </c>
      <c r="C9" s="6" t="s">
        <v>18</v>
      </c>
      <c r="D9" s="4" t="s">
        <v>13</v>
      </c>
      <c r="E9" s="7" t="n">
        <v>1799</v>
      </c>
      <c r="F9" s="7" t="n">
        <v>2375</v>
      </c>
      <c r="G9" s="4" t="s">
        <v>14</v>
      </c>
    </row>
    <row r="10" customFormat="false" ht="15" hidden="false" customHeight="false" outlineLevel="0" collapsed="false">
      <c r="A10" s="4" t="n">
        <v>4</v>
      </c>
      <c r="B10" s="5" t="s">
        <v>19</v>
      </c>
      <c r="C10" s="6" t="s">
        <v>20</v>
      </c>
      <c r="D10" s="4" t="s">
        <v>21</v>
      </c>
      <c r="E10" s="7" t="n">
        <v>1799</v>
      </c>
      <c r="F10" s="7" t="n">
        <v>2375</v>
      </c>
      <c r="G10" s="4" t="s">
        <v>14</v>
      </c>
    </row>
    <row r="11" customFormat="false" ht="15" hidden="false" customHeight="false" outlineLevel="0" collapsed="false">
      <c r="A11" s="4" t="n">
        <v>5</v>
      </c>
      <c r="B11" s="5" t="s">
        <v>22</v>
      </c>
      <c r="C11" s="6" t="s">
        <v>23</v>
      </c>
      <c r="D11" s="4" t="s">
        <v>21</v>
      </c>
      <c r="E11" s="7" t="n">
        <v>1799</v>
      </c>
      <c r="F11" s="7" t="n">
        <v>2375</v>
      </c>
      <c r="G11" s="4" t="s">
        <v>14</v>
      </c>
    </row>
    <row r="12" customFormat="false" ht="15" hidden="false" customHeight="false" outlineLevel="0" collapsed="false">
      <c r="A12" s="4" t="n">
        <v>6</v>
      </c>
      <c r="B12" s="5" t="s">
        <v>24</v>
      </c>
      <c r="C12" s="6" t="s">
        <v>25</v>
      </c>
      <c r="D12" s="4" t="s">
        <v>21</v>
      </c>
      <c r="E12" s="7" t="n">
        <v>1799</v>
      </c>
      <c r="F12" s="7" t="n">
        <v>2375</v>
      </c>
      <c r="G12" s="4" t="s">
        <v>14</v>
      </c>
    </row>
    <row r="13" customFormat="false" ht="15" hidden="false" customHeight="false" outlineLevel="0" collapsed="false">
      <c r="A13" s="3" t="s">
        <v>26</v>
      </c>
    </row>
    <row r="14" customFormat="false" ht="15" hidden="false" customHeight="false" outlineLevel="0" collapsed="false">
      <c r="A14" s="4" t="n">
        <v>1</v>
      </c>
      <c r="B14" s="5" t="s">
        <v>27</v>
      </c>
      <c r="C14" s="6" t="s">
        <v>28</v>
      </c>
      <c r="D14" s="4" t="s">
        <v>29</v>
      </c>
      <c r="E14" s="7" t="n">
        <v>999</v>
      </c>
      <c r="F14" s="7" t="n">
        <v>1319</v>
      </c>
      <c r="G14" s="7" t="n">
        <v>1888</v>
      </c>
    </row>
    <row r="15" customFormat="false" ht="15" hidden="false" customHeight="false" outlineLevel="0" collapsed="false">
      <c r="A15" s="4" t="n">
        <v>2</v>
      </c>
      <c r="B15" s="5" t="s">
        <v>30</v>
      </c>
      <c r="C15" s="6" t="s">
        <v>28</v>
      </c>
      <c r="D15" s="4" t="s">
        <v>29</v>
      </c>
      <c r="E15" s="7" t="n">
        <v>999</v>
      </c>
      <c r="F15" s="7" t="n">
        <v>1319</v>
      </c>
      <c r="G15" s="7" t="n">
        <v>1888</v>
      </c>
    </row>
    <row r="16" customFormat="false" ht="15" hidden="false" customHeight="false" outlineLevel="0" collapsed="false">
      <c r="A16" s="4" t="n">
        <v>3</v>
      </c>
      <c r="B16" s="5" t="s">
        <v>31</v>
      </c>
      <c r="C16" s="6" t="s">
        <v>28</v>
      </c>
      <c r="D16" s="4" t="s">
        <v>29</v>
      </c>
      <c r="E16" s="7" t="n">
        <v>999</v>
      </c>
      <c r="F16" s="7" t="n">
        <v>1319</v>
      </c>
      <c r="G16" s="7" t="n">
        <v>1888</v>
      </c>
    </row>
    <row r="17" customFormat="false" ht="15" hidden="false" customHeight="false" outlineLevel="0" collapsed="false">
      <c r="A17" s="4" t="n">
        <v>4</v>
      </c>
      <c r="B17" s="5" t="s">
        <v>32</v>
      </c>
      <c r="C17" s="6" t="s">
        <v>28</v>
      </c>
      <c r="D17" s="4" t="s">
        <v>29</v>
      </c>
      <c r="E17" s="7" t="n">
        <v>999</v>
      </c>
      <c r="F17" s="7" t="n">
        <v>1319</v>
      </c>
      <c r="G17" s="7" t="n">
        <v>1888</v>
      </c>
    </row>
    <row r="18" customFormat="false" ht="15" hidden="false" customHeight="false" outlineLevel="0" collapsed="false">
      <c r="A18" s="3" t="s">
        <v>33</v>
      </c>
    </row>
    <row r="19" customFormat="false" ht="35.05" hidden="false" customHeight="false" outlineLevel="0" collapsed="false">
      <c r="A19" s="4" t="n">
        <v>1</v>
      </c>
      <c r="B19" s="5" t="s">
        <v>34</v>
      </c>
      <c r="C19" s="6" t="s">
        <v>35</v>
      </c>
      <c r="D19" s="4" t="s">
        <v>13</v>
      </c>
      <c r="E19" s="7" t="n">
        <v>1299</v>
      </c>
      <c r="F19" s="7" t="n">
        <v>1728</v>
      </c>
      <c r="G19" s="4" t="s">
        <v>14</v>
      </c>
    </row>
    <row r="20" customFormat="false" ht="15" hidden="false" customHeight="false" outlineLevel="0" collapsed="false">
      <c r="A20" s="4" t="n">
        <v>2</v>
      </c>
      <c r="B20" s="5" t="s">
        <v>36</v>
      </c>
      <c r="C20" s="6" t="s">
        <v>37</v>
      </c>
      <c r="D20" s="4" t="s">
        <v>13</v>
      </c>
      <c r="E20" s="7" t="n">
        <v>1399</v>
      </c>
      <c r="F20" s="7" t="n">
        <v>1861</v>
      </c>
      <c r="G20" s="4" t="s">
        <v>14</v>
      </c>
    </row>
    <row r="21" customFormat="false" ht="15" hidden="false" customHeight="false" outlineLevel="0" collapsed="false">
      <c r="A21" s="4" t="n">
        <v>3</v>
      </c>
      <c r="B21" s="5" t="s">
        <v>38</v>
      </c>
      <c r="C21" s="6" t="s">
        <v>39</v>
      </c>
      <c r="D21" s="4" t="s">
        <v>13</v>
      </c>
      <c r="E21" s="7" t="n">
        <v>1399</v>
      </c>
      <c r="F21" s="7" t="n">
        <v>1861</v>
      </c>
      <c r="G21" s="4" t="s">
        <v>14</v>
      </c>
    </row>
    <row r="22" customFormat="false" ht="15" hidden="false" customHeight="false" outlineLevel="0" collapsed="false">
      <c r="A22" s="4" t="n">
        <v>4</v>
      </c>
      <c r="B22" s="5" t="s">
        <v>40</v>
      </c>
      <c r="C22" s="6" t="s">
        <v>16</v>
      </c>
      <c r="D22" s="4" t="s">
        <v>41</v>
      </c>
      <c r="E22" s="7" t="n">
        <v>1399</v>
      </c>
      <c r="F22" s="7" t="n">
        <v>1861</v>
      </c>
      <c r="G22" s="4" t="s">
        <v>14</v>
      </c>
    </row>
    <row r="23" customFormat="false" ht="15" hidden="false" customHeight="false" outlineLevel="0" collapsed="false">
      <c r="A23" s="4" t="n">
        <v>5</v>
      </c>
      <c r="B23" s="5" t="s">
        <v>42</v>
      </c>
      <c r="C23" s="6" t="s">
        <v>18</v>
      </c>
      <c r="D23" s="4" t="s">
        <v>13</v>
      </c>
      <c r="E23" s="7" t="n">
        <v>1399</v>
      </c>
      <c r="F23" s="7" t="n">
        <v>1861</v>
      </c>
      <c r="G23" s="4" t="s">
        <v>14</v>
      </c>
    </row>
    <row r="24" customFormat="false" ht="15" hidden="false" customHeight="false" outlineLevel="0" collapsed="false">
      <c r="A24" s="4" t="n">
        <v>6</v>
      </c>
      <c r="B24" s="5" t="s">
        <v>43</v>
      </c>
      <c r="C24" s="6" t="s">
        <v>37</v>
      </c>
      <c r="D24" s="4" t="s">
        <v>13</v>
      </c>
      <c r="E24" s="7" t="n">
        <v>1399</v>
      </c>
      <c r="F24" s="7" t="n">
        <v>1861</v>
      </c>
      <c r="G24" s="4" t="s">
        <v>14</v>
      </c>
    </row>
    <row r="25" customFormat="false" ht="15" hidden="false" customHeight="false" outlineLevel="0" collapsed="false">
      <c r="A25" s="4" t="n">
        <v>7</v>
      </c>
      <c r="B25" s="5" t="s">
        <v>44</v>
      </c>
      <c r="C25" s="6" t="s">
        <v>20</v>
      </c>
      <c r="D25" s="4" t="s">
        <v>13</v>
      </c>
      <c r="E25" s="7" t="n">
        <v>1399</v>
      </c>
      <c r="F25" s="7" t="n">
        <v>1861</v>
      </c>
      <c r="G25" s="4" t="s">
        <v>14</v>
      </c>
    </row>
    <row r="26" customFormat="false" ht="15" hidden="false" customHeight="false" outlineLevel="0" collapsed="false">
      <c r="A26" s="4" t="n">
        <v>8</v>
      </c>
      <c r="B26" s="5" t="s">
        <v>45</v>
      </c>
      <c r="C26" s="6" t="s">
        <v>46</v>
      </c>
      <c r="D26" s="4" t="s">
        <v>13</v>
      </c>
      <c r="E26" s="7" t="n">
        <v>1399</v>
      </c>
      <c r="F26" s="7" t="n">
        <v>1861</v>
      </c>
      <c r="G26" s="4" t="s">
        <v>14</v>
      </c>
    </row>
    <row r="27" customFormat="false" ht="15" hidden="false" customHeight="false" outlineLevel="0" collapsed="false">
      <c r="A27" s="4" t="n">
        <v>9</v>
      </c>
      <c r="B27" s="5" t="s">
        <v>47</v>
      </c>
      <c r="C27" s="6" t="s">
        <v>48</v>
      </c>
      <c r="D27" s="4" t="s">
        <v>13</v>
      </c>
      <c r="E27" s="7" t="n">
        <v>1399</v>
      </c>
      <c r="F27" s="7" t="n">
        <v>1861</v>
      </c>
      <c r="G27" s="4" t="s">
        <v>14</v>
      </c>
    </row>
    <row r="28" customFormat="false" ht="15" hidden="false" customHeight="false" outlineLevel="0" collapsed="false">
      <c r="A28" s="4" t="n">
        <v>10</v>
      </c>
      <c r="B28" s="5" t="s">
        <v>49</v>
      </c>
      <c r="C28" s="6" t="s">
        <v>50</v>
      </c>
      <c r="D28" s="4" t="s">
        <v>41</v>
      </c>
      <c r="E28" s="7" t="n">
        <v>1399</v>
      </c>
      <c r="F28" s="7" t="n">
        <v>1861</v>
      </c>
      <c r="G28" s="4" t="s">
        <v>14</v>
      </c>
    </row>
    <row r="29" customFormat="false" ht="15" hidden="false" customHeight="false" outlineLevel="0" collapsed="false">
      <c r="A29" s="4" t="n">
        <v>11</v>
      </c>
      <c r="B29" s="5" t="s">
        <v>51</v>
      </c>
      <c r="C29" s="6" t="s">
        <v>52</v>
      </c>
      <c r="D29" s="4" t="s">
        <v>41</v>
      </c>
      <c r="E29" s="7" t="n">
        <v>1399</v>
      </c>
      <c r="F29" s="7" t="n">
        <v>1861</v>
      </c>
      <c r="G29" s="4" t="s">
        <v>14</v>
      </c>
    </row>
    <row r="30" customFormat="false" ht="15" hidden="false" customHeight="false" outlineLevel="0" collapsed="false">
      <c r="A30" s="4" t="n">
        <v>12</v>
      </c>
      <c r="B30" s="5" t="s">
        <v>53</v>
      </c>
      <c r="C30" s="6" t="s">
        <v>54</v>
      </c>
      <c r="D30" s="4" t="s">
        <v>41</v>
      </c>
      <c r="E30" s="7" t="n">
        <v>1375</v>
      </c>
      <c r="F30" s="7" t="n">
        <v>1829</v>
      </c>
      <c r="G30" s="4" t="s">
        <v>14</v>
      </c>
    </row>
    <row r="31" customFormat="false" ht="15" hidden="false" customHeight="false" outlineLevel="0" collapsed="false">
      <c r="A31" s="4" t="n">
        <v>13</v>
      </c>
      <c r="B31" s="5" t="s">
        <v>55</v>
      </c>
      <c r="C31" s="6" t="s">
        <v>56</v>
      </c>
      <c r="D31" s="4" t="s">
        <v>41</v>
      </c>
      <c r="E31" s="7" t="n">
        <v>1375</v>
      </c>
      <c r="F31" s="7" t="n">
        <v>1829</v>
      </c>
      <c r="G31" s="4" t="s">
        <v>14</v>
      </c>
    </row>
    <row r="32" customFormat="false" ht="15" hidden="false" customHeight="false" outlineLevel="0" collapsed="false">
      <c r="A32" s="4" t="n">
        <v>14</v>
      </c>
      <c r="B32" s="5" t="s">
        <v>57</v>
      </c>
      <c r="C32" s="6" t="s">
        <v>37</v>
      </c>
      <c r="D32" s="4" t="s">
        <v>21</v>
      </c>
      <c r="E32" s="7" t="n">
        <v>1399</v>
      </c>
      <c r="F32" s="7" t="n">
        <v>1861</v>
      </c>
      <c r="G32" s="4" t="s">
        <v>14</v>
      </c>
    </row>
    <row r="33" customFormat="false" ht="15" hidden="false" customHeight="false" outlineLevel="0" collapsed="false">
      <c r="A33" s="4" t="n">
        <v>15</v>
      </c>
      <c r="B33" s="5" t="s">
        <v>58</v>
      </c>
      <c r="C33" s="6" t="s">
        <v>18</v>
      </c>
      <c r="D33" s="4" t="s">
        <v>21</v>
      </c>
      <c r="E33" s="7" t="n">
        <v>1399</v>
      </c>
      <c r="F33" s="7" t="n">
        <v>1861</v>
      </c>
      <c r="G33" s="4" t="s">
        <v>14</v>
      </c>
    </row>
    <row r="34" customFormat="false" ht="15" hidden="false" customHeight="false" outlineLevel="0" collapsed="false">
      <c r="A34" s="4" t="n">
        <v>16</v>
      </c>
      <c r="B34" s="5" t="s">
        <v>59</v>
      </c>
      <c r="C34" s="6" t="s">
        <v>37</v>
      </c>
      <c r="D34" s="4" t="s">
        <v>21</v>
      </c>
      <c r="E34" s="7" t="n">
        <v>1399</v>
      </c>
      <c r="F34" s="7" t="n">
        <v>1861</v>
      </c>
      <c r="G34" s="4" t="s">
        <v>14</v>
      </c>
    </row>
    <row r="35" customFormat="false" ht="15" hidden="false" customHeight="false" outlineLevel="0" collapsed="false">
      <c r="A35" s="4" t="n">
        <v>17</v>
      </c>
      <c r="B35" s="5" t="s">
        <v>60</v>
      </c>
      <c r="C35" s="6" t="s">
        <v>37</v>
      </c>
      <c r="D35" s="4" t="s">
        <v>21</v>
      </c>
      <c r="E35" s="7" t="n">
        <v>1399</v>
      </c>
      <c r="F35" s="7" t="n">
        <v>1861</v>
      </c>
      <c r="G35" s="4" t="s">
        <v>14</v>
      </c>
    </row>
    <row r="36" customFormat="false" ht="15" hidden="false" customHeight="false" outlineLevel="0" collapsed="false">
      <c r="A36" s="4" t="n">
        <v>18</v>
      </c>
      <c r="B36" s="5" t="s">
        <v>61</v>
      </c>
      <c r="C36" s="6" t="s">
        <v>20</v>
      </c>
      <c r="D36" s="4" t="s">
        <v>21</v>
      </c>
      <c r="E36" s="7" t="n">
        <v>1399</v>
      </c>
      <c r="F36" s="7" t="n">
        <v>1861</v>
      </c>
      <c r="G36" s="4" t="s">
        <v>14</v>
      </c>
    </row>
    <row r="37" customFormat="false" ht="15" hidden="false" customHeight="false" outlineLevel="0" collapsed="false">
      <c r="A37" s="4" t="n">
        <v>19</v>
      </c>
      <c r="B37" s="5" t="s">
        <v>62</v>
      </c>
      <c r="C37" s="6" t="s">
        <v>37</v>
      </c>
      <c r="D37" s="4" t="s">
        <v>21</v>
      </c>
      <c r="E37" s="7" t="n">
        <v>1399</v>
      </c>
      <c r="F37" s="7" t="n">
        <v>1861</v>
      </c>
      <c r="G37" s="4" t="s">
        <v>14</v>
      </c>
    </row>
    <row r="38" customFormat="false" ht="15" hidden="false" customHeight="false" outlineLevel="0" collapsed="false">
      <c r="A38" s="4" t="n">
        <v>20</v>
      </c>
      <c r="B38" s="5" t="s">
        <v>63</v>
      </c>
      <c r="C38" s="6" t="s">
        <v>64</v>
      </c>
      <c r="D38" s="4" t="s">
        <v>21</v>
      </c>
      <c r="E38" s="7" t="n">
        <v>1399</v>
      </c>
      <c r="F38" s="7" t="n">
        <v>1861</v>
      </c>
      <c r="G38" s="4" t="s">
        <v>14</v>
      </c>
    </row>
    <row r="39" customFormat="false" ht="15" hidden="false" customHeight="false" outlineLevel="0" collapsed="false">
      <c r="A39" s="4" t="n">
        <v>21</v>
      </c>
      <c r="B39" s="5" t="s">
        <v>65</v>
      </c>
      <c r="C39" s="6" t="s">
        <v>18</v>
      </c>
      <c r="D39" s="4" t="s">
        <v>21</v>
      </c>
      <c r="E39" s="7" t="n">
        <v>1399</v>
      </c>
      <c r="F39" s="7" t="n">
        <v>1861</v>
      </c>
      <c r="G39" s="4" t="s">
        <v>14</v>
      </c>
    </row>
    <row r="40" customFormat="false" ht="15" hidden="false" customHeight="false" outlineLevel="0" collapsed="false">
      <c r="A40" s="4" t="n">
        <v>22</v>
      </c>
      <c r="B40" s="5" t="s">
        <v>66</v>
      </c>
      <c r="C40" s="6" t="s">
        <v>67</v>
      </c>
      <c r="D40" s="4" t="s">
        <v>21</v>
      </c>
      <c r="E40" s="7" t="n">
        <v>1399</v>
      </c>
      <c r="F40" s="7" t="n">
        <v>1861</v>
      </c>
      <c r="G40" s="4" t="s">
        <v>14</v>
      </c>
    </row>
    <row r="41" customFormat="false" ht="15" hidden="false" customHeight="false" outlineLevel="0" collapsed="false">
      <c r="A41" s="4" t="n">
        <v>23</v>
      </c>
      <c r="B41" s="5" t="s">
        <v>68</v>
      </c>
      <c r="C41" s="6" t="s">
        <v>25</v>
      </c>
      <c r="D41" s="4" t="s">
        <v>29</v>
      </c>
      <c r="E41" s="7" t="n">
        <v>1399</v>
      </c>
      <c r="F41" s="7" t="n">
        <v>1861</v>
      </c>
      <c r="G41" s="4" t="s">
        <v>14</v>
      </c>
    </row>
    <row r="42" customFormat="false" ht="15" hidden="false" customHeight="false" outlineLevel="0" collapsed="false">
      <c r="A42" s="4" t="n">
        <v>24</v>
      </c>
      <c r="B42" s="5" t="s">
        <v>69</v>
      </c>
      <c r="C42" s="6" t="s">
        <v>37</v>
      </c>
      <c r="D42" s="4" t="s">
        <v>21</v>
      </c>
      <c r="E42" s="7" t="n">
        <v>1399</v>
      </c>
      <c r="F42" s="7" t="n">
        <v>1861</v>
      </c>
      <c r="G42" s="4" t="s">
        <v>14</v>
      </c>
    </row>
    <row r="43" customFormat="false" ht="15" hidden="false" customHeight="false" outlineLevel="0" collapsed="false">
      <c r="A43" s="4" t="n">
        <v>25</v>
      </c>
      <c r="B43" s="5" t="s">
        <v>70</v>
      </c>
      <c r="C43" s="6" t="s">
        <v>37</v>
      </c>
      <c r="D43" s="4" t="s">
        <v>21</v>
      </c>
      <c r="E43" s="7" t="n">
        <v>1399</v>
      </c>
      <c r="F43" s="7" t="n">
        <v>1861</v>
      </c>
      <c r="G43" s="4" t="s">
        <v>14</v>
      </c>
    </row>
    <row r="44" customFormat="false" ht="15" hidden="false" customHeight="false" outlineLevel="0" collapsed="false">
      <c r="A44" s="4" t="n">
        <v>26</v>
      </c>
      <c r="B44" s="5" t="s">
        <v>71</v>
      </c>
      <c r="C44" s="6" t="s">
        <v>37</v>
      </c>
      <c r="D44" s="4" t="s">
        <v>29</v>
      </c>
      <c r="E44" s="7" t="n">
        <v>1399</v>
      </c>
      <c r="F44" s="7" t="n">
        <v>1861</v>
      </c>
      <c r="G44" s="4" t="s">
        <v>14</v>
      </c>
    </row>
    <row r="45" customFormat="false" ht="15" hidden="false" customHeight="false" outlineLevel="0" collapsed="false">
      <c r="A45" s="4" t="n">
        <v>27</v>
      </c>
      <c r="B45" s="5" t="s">
        <v>72</v>
      </c>
      <c r="C45" s="6" t="s">
        <v>18</v>
      </c>
      <c r="D45" s="4" t="s">
        <v>29</v>
      </c>
      <c r="E45" s="7" t="n">
        <v>1399</v>
      </c>
      <c r="F45" s="7" t="n">
        <v>1861</v>
      </c>
      <c r="G45" s="4" t="s">
        <v>14</v>
      </c>
    </row>
    <row r="46" customFormat="false" ht="15" hidden="false" customHeight="false" outlineLevel="0" collapsed="false">
      <c r="A46" s="4" t="n">
        <v>28</v>
      </c>
      <c r="B46" s="5" t="s">
        <v>73</v>
      </c>
      <c r="C46" s="6" t="s">
        <v>25</v>
      </c>
      <c r="D46" s="4" t="s">
        <v>29</v>
      </c>
      <c r="E46" s="7" t="n">
        <v>1399</v>
      </c>
      <c r="F46" s="7" t="n">
        <v>1861</v>
      </c>
      <c r="G46" s="4" t="s">
        <v>14</v>
      </c>
    </row>
    <row r="47" customFormat="false" ht="15" hidden="false" customHeight="false" outlineLevel="0" collapsed="false">
      <c r="A47" s="4" t="n">
        <v>29</v>
      </c>
      <c r="B47" s="5" t="s">
        <v>74</v>
      </c>
      <c r="C47" s="6" t="s">
        <v>52</v>
      </c>
      <c r="D47" s="4" t="s">
        <v>29</v>
      </c>
      <c r="E47" s="7" t="n">
        <v>1399</v>
      </c>
      <c r="F47" s="7" t="n">
        <v>1861</v>
      </c>
      <c r="G47" s="4" t="s">
        <v>14</v>
      </c>
    </row>
    <row r="48" customFormat="false" ht="15" hidden="false" customHeight="false" outlineLevel="0" collapsed="false">
      <c r="A48" s="4" t="n">
        <v>30</v>
      </c>
      <c r="B48" s="5" t="s">
        <v>75</v>
      </c>
      <c r="C48" s="6" t="s">
        <v>76</v>
      </c>
      <c r="D48" s="4" t="s">
        <v>29</v>
      </c>
      <c r="E48" s="7" t="n">
        <v>1399</v>
      </c>
      <c r="F48" s="7" t="n">
        <v>1861</v>
      </c>
      <c r="G48" s="4" t="s">
        <v>14</v>
      </c>
    </row>
    <row r="49" customFormat="false" ht="15" hidden="false" customHeight="false" outlineLevel="0" collapsed="false">
      <c r="A49" s="4" t="n">
        <v>31</v>
      </c>
      <c r="B49" s="5" t="s">
        <v>77</v>
      </c>
      <c r="C49" s="6" t="s">
        <v>78</v>
      </c>
      <c r="D49" s="4" t="s">
        <v>29</v>
      </c>
      <c r="E49" s="7" t="n">
        <v>1399</v>
      </c>
      <c r="F49" s="7" t="n">
        <v>1861</v>
      </c>
      <c r="G49" s="4" t="s">
        <v>14</v>
      </c>
    </row>
    <row r="50" customFormat="false" ht="15" hidden="false" customHeight="false" outlineLevel="0" collapsed="false">
      <c r="A50" s="4" t="n">
        <v>32</v>
      </c>
      <c r="B50" s="5" t="s">
        <v>79</v>
      </c>
      <c r="C50" s="6" t="s">
        <v>80</v>
      </c>
      <c r="D50" s="4" t="s">
        <v>29</v>
      </c>
      <c r="E50" s="7" t="n">
        <v>1399</v>
      </c>
      <c r="F50" s="7" t="n">
        <v>1861</v>
      </c>
      <c r="G50" s="4" t="s">
        <v>14</v>
      </c>
    </row>
    <row r="51" customFormat="false" ht="15" hidden="false" customHeight="false" outlineLevel="0" collapsed="false">
      <c r="A51" s="4" t="n">
        <v>33</v>
      </c>
      <c r="B51" s="5" t="s">
        <v>81</v>
      </c>
      <c r="C51" s="6" t="s">
        <v>82</v>
      </c>
      <c r="D51" s="4" t="s">
        <v>29</v>
      </c>
      <c r="E51" s="7" t="n">
        <v>1399</v>
      </c>
      <c r="F51" s="7" t="n">
        <v>1861</v>
      </c>
      <c r="G51" s="4" t="s">
        <v>14</v>
      </c>
    </row>
    <row r="52" customFormat="false" ht="15" hidden="false" customHeight="false" outlineLevel="0" collapsed="false">
      <c r="A52" s="4" t="n">
        <v>34</v>
      </c>
      <c r="B52" s="5" t="s">
        <v>83</v>
      </c>
      <c r="C52" s="6" t="s">
        <v>84</v>
      </c>
      <c r="D52" s="4" t="s">
        <v>29</v>
      </c>
      <c r="E52" s="7" t="n">
        <v>1399</v>
      </c>
      <c r="F52" s="7" t="n">
        <v>1861</v>
      </c>
      <c r="G52" s="4" t="s">
        <v>14</v>
      </c>
    </row>
    <row r="53" customFormat="false" ht="15" hidden="false" customHeight="false" outlineLevel="0" collapsed="false">
      <c r="A53" s="4" t="n">
        <v>35</v>
      </c>
      <c r="B53" s="5" t="s">
        <v>85</v>
      </c>
      <c r="C53" s="6" t="s">
        <v>86</v>
      </c>
      <c r="D53" s="4" t="s">
        <v>29</v>
      </c>
      <c r="E53" s="7" t="n">
        <v>1399</v>
      </c>
      <c r="F53" s="7" t="n">
        <v>1861</v>
      </c>
      <c r="G53" s="4" t="s">
        <v>14</v>
      </c>
    </row>
    <row r="54" customFormat="false" ht="15" hidden="false" customHeight="false" outlineLevel="0" collapsed="false">
      <c r="A54" s="4" t="n">
        <v>36</v>
      </c>
      <c r="B54" s="5" t="s">
        <v>87</v>
      </c>
      <c r="C54" s="6" t="s">
        <v>37</v>
      </c>
      <c r="D54" s="4" t="s">
        <v>21</v>
      </c>
      <c r="E54" s="7" t="n">
        <v>1399</v>
      </c>
      <c r="F54" s="7" t="n">
        <v>1861</v>
      </c>
      <c r="G54" s="4" t="s">
        <v>14</v>
      </c>
    </row>
    <row r="55" customFormat="false" ht="15" hidden="false" customHeight="false" outlineLevel="0" collapsed="false">
      <c r="A55" s="4" t="n">
        <v>37</v>
      </c>
      <c r="B55" s="5" t="s">
        <v>88</v>
      </c>
      <c r="C55" s="6" t="s">
        <v>37</v>
      </c>
      <c r="D55" s="4" t="s">
        <v>29</v>
      </c>
      <c r="E55" s="7" t="n">
        <v>1399</v>
      </c>
      <c r="F55" s="7" t="n">
        <v>1861</v>
      </c>
      <c r="G55" s="4" t="s">
        <v>14</v>
      </c>
    </row>
    <row r="56" customFormat="false" ht="15" hidden="false" customHeight="false" outlineLevel="0" collapsed="false">
      <c r="A56" s="4" t="n">
        <v>38</v>
      </c>
      <c r="B56" s="5" t="s">
        <v>89</v>
      </c>
      <c r="C56" s="6" t="s">
        <v>90</v>
      </c>
      <c r="D56" s="4" t="s">
        <v>29</v>
      </c>
      <c r="E56" s="7" t="n">
        <v>1399</v>
      </c>
      <c r="F56" s="7" t="n">
        <v>1861</v>
      </c>
      <c r="G56" s="4" t="s">
        <v>14</v>
      </c>
    </row>
    <row r="58" customFormat="false" ht="15" hidden="false" customHeight="false" outlineLevel="0" collapsed="false">
      <c r="A58" s="8" t="s">
        <v>91</v>
      </c>
    </row>
  </sheetData>
  <mergeCells count="5">
    <mergeCell ref="A4:A5"/>
    <mergeCell ref="B4:B5"/>
    <mergeCell ref="C4:C5"/>
    <mergeCell ref="D4:D5"/>
    <mergeCell ref="E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3"/>
  </cols>
  <sheetData>
    <row r="1" customFormat="false" ht="15" hidden="false" customHeight="false" outlineLevel="0" collapsed="false">
      <c r="A1" s="1" t="s">
        <v>92</v>
      </c>
    </row>
    <row r="2" customFormat="false" ht="15" hidden="false" customHeight="false" outlineLevel="0" collapsed="false">
      <c r="A2" s="9" t="s">
        <v>93</v>
      </c>
    </row>
    <row r="3" customFormat="false" ht="15" hidden="false" customHeight="false" outlineLevel="0" collapsed="false">
      <c r="A3" s="10" t="s">
        <v>94</v>
      </c>
      <c r="B3" s="10" t="s">
        <v>95</v>
      </c>
      <c r="C3" s="10" t="s">
        <v>96</v>
      </c>
    </row>
    <row r="4" customFormat="false" ht="15" hidden="false" customHeight="false" outlineLevel="0" collapsed="false">
      <c r="A4" s="11" t="s">
        <v>97</v>
      </c>
      <c r="B4" s="11" t="n">
        <f aca="false">COUNTA(B13:B60)</f>
        <v>48</v>
      </c>
      <c r="C4" s="12" t="n">
        <v>48</v>
      </c>
    </row>
    <row r="5" customFormat="false" ht="15" hidden="false" customHeight="false" outlineLevel="0" collapsed="false">
      <c r="A5" s="11" t="s">
        <v>98</v>
      </c>
      <c r="B5" s="11" t="n">
        <f aca="false">COUNTIF(F13:F60,"CHECK")</f>
        <v>0</v>
      </c>
      <c r="C5" s="12" t="n">
        <v>0</v>
      </c>
    </row>
    <row r="6" customFormat="false" ht="15" hidden="false" customHeight="false" outlineLevel="0" collapsed="false">
      <c r="A6" s="11" t="s">
        <v>99</v>
      </c>
      <c r="B6" s="11" t="n">
        <f aca="false">COUNTIF(G13:G60,"CHECK")</f>
        <v>0</v>
      </c>
      <c r="C6" s="12" t="n">
        <v>0</v>
      </c>
    </row>
    <row r="7" customFormat="false" ht="15" hidden="false" customHeight="false" outlineLevel="0" collapsed="false">
      <c r="A7" s="11" t="s">
        <v>100</v>
      </c>
      <c r="B7" s="11" t="n">
        <f aca="false">COUNTIF(A13:A60,"Woolrite (AI)")</f>
        <v>6</v>
      </c>
      <c r="C7" s="12" t="n">
        <v>6</v>
      </c>
    </row>
    <row r="8" customFormat="false" ht="15" hidden="false" customHeight="false" outlineLevel="0" collapsed="false">
      <c r="A8" s="11" t="s">
        <v>101</v>
      </c>
      <c r="B8" s="11" t="n">
        <f aca="false">COUNTIF(A13:A60,"Ambassador White (AMB)")</f>
        <v>4</v>
      </c>
      <c r="C8" s="12" t="n">
        <v>4</v>
      </c>
    </row>
    <row r="9" customFormat="false" ht="15" hidden="false" customHeight="false" outlineLevel="0" collapsed="false">
      <c r="A9" s="11" t="s">
        <v>102</v>
      </c>
      <c r="B9" s="11" t="n">
        <f aca="false">COUNTIF(A13:A60,"Aristo (ARO)")</f>
        <v>38</v>
      </c>
      <c r="C9" s="12" t="n">
        <v>38</v>
      </c>
    </row>
    <row r="10" customFormat="false" ht="15" hidden="false" customHeight="false" outlineLevel="0" collapsed="false">
      <c r="A10" s="11" t="s">
        <v>103</v>
      </c>
      <c r="B10" s="11" t="n">
        <f aca="false">INDEX(H13:H60,MATCH("ARO-1-1-105-0041000",B13:B60,0))</f>
        <v>68</v>
      </c>
      <c r="C10" s="12" t="n">
        <v>68</v>
      </c>
    </row>
    <row r="12" customFormat="false" ht="15" hidden="false" customHeight="false" outlineLevel="0" collapsed="false">
      <c r="A12" s="13" t="s">
        <v>104</v>
      </c>
      <c r="B12" s="13" t="s">
        <v>3</v>
      </c>
      <c r="C12" s="13" t="s">
        <v>7</v>
      </c>
      <c r="D12" s="13" t="s">
        <v>8</v>
      </c>
      <c r="E12" s="13" t="s">
        <v>105</v>
      </c>
      <c r="F12" s="13" t="s">
        <v>106</v>
      </c>
      <c r="G12" s="13" t="s">
        <v>107</v>
      </c>
      <c r="H12" s="13" t="s">
        <v>108</v>
      </c>
    </row>
    <row r="13" customFormat="false" ht="15" hidden="false" customHeight="false" outlineLevel="0" collapsed="false">
      <c r="A13" s="11" t="s">
        <v>10</v>
      </c>
      <c r="B13" s="11" t="str">
        <f aca="false">'Price List'!B7</f>
        <v>AI-1-2-209-0100100</v>
      </c>
      <c r="C13" s="14" t="n">
        <f aca="false">'Price List'!E7</f>
        <v>1799</v>
      </c>
      <c r="D13" s="14" t="n">
        <f aca="false">'Price List'!F7</f>
        <v>2375</v>
      </c>
      <c r="E13" s="15" t="n">
        <f aca="false">IFERROR(D13/C13,"")</f>
        <v>1.32017787659811</v>
      </c>
      <c r="F13" s="11" t="str">
        <f aca="false">IF(E13="","CHECK",IF(AND(E13&gt;=1.3,E13&lt;=1.35),"OK","CHECK"))</f>
        <v>OK</v>
      </c>
      <c r="G13" s="11" t="str">
        <f aca="false">IF(ISNUMBER('Price List'!G7),IF('Price List'!G7&gt;'Price List'!F7,"OK","CHECK"),"n/a")</f>
        <v>n/a</v>
      </c>
      <c r="H13" s="11" t="n">
        <f aca="false">LEN('Price List'!C7)-LEN(SUBSTITUTE('Price List'!C7,",",""))+IF(RIGHT('Price List'!C7,1)=",",0,1)</f>
        <v>15</v>
      </c>
    </row>
    <row r="14" customFormat="false" ht="15" hidden="false" customHeight="false" outlineLevel="0" collapsed="false">
      <c r="A14" s="11" t="s">
        <v>10</v>
      </c>
      <c r="B14" s="11" t="str">
        <f aca="false">'Price List'!B8</f>
        <v>AI-1-2-209-0100101</v>
      </c>
      <c r="C14" s="14" t="n">
        <f aca="false">'Price List'!E8</f>
        <v>1799</v>
      </c>
      <c r="D14" s="14" t="n">
        <f aca="false">'Price List'!F8</f>
        <v>2375</v>
      </c>
      <c r="E14" s="15" t="n">
        <f aca="false">IFERROR(D14/C14,"")</f>
        <v>1.32017787659811</v>
      </c>
      <c r="F14" s="11" t="str">
        <f aca="false">IF(E14="","CHECK",IF(AND(E14&gt;=1.3,E14&lt;=1.35),"OK","CHECK"))</f>
        <v>OK</v>
      </c>
      <c r="G14" s="11" t="str">
        <f aca="false">IF(ISNUMBER('Price List'!G8),IF('Price List'!G8&gt;'Price List'!F8,"OK","CHECK"),"n/a")</f>
        <v>n/a</v>
      </c>
      <c r="H14" s="11" t="n">
        <f aca="false">LEN('Price List'!C8)-LEN(SUBSTITUTE('Price List'!C8,",",""))+IF(RIGHT('Price List'!C8,1)=",",0,1)</f>
        <v>8</v>
      </c>
    </row>
    <row r="15" customFormat="false" ht="15" hidden="false" customHeight="false" outlineLevel="0" collapsed="false">
      <c r="A15" s="11" t="s">
        <v>10</v>
      </c>
      <c r="B15" s="11" t="str">
        <f aca="false">'Price List'!B9</f>
        <v>AI-1-2-209-0100102</v>
      </c>
      <c r="C15" s="14" t="n">
        <f aca="false">'Price List'!E9</f>
        <v>1799</v>
      </c>
      <c r="D15" s="14" t="n">
        <f aca="false">'Price List'!F9</f>
        <v>2375</v>
      </c>
      <c r="E15" s="15" t="n">
        <f aca="false">IFERROR(D15/C15,"")</f>
        <v>1.32017787659811</v>
      </c>
      <c r="F15" s="11" t="str">
        <f aca="false">IF(E15="","CHECK",IF(AND(E15&gt;=1.3,E15&lt;=1.35),"OK","CHECK"))</f>
        <v>OK</v>
      </c>
      <c r="G15" s="11" t="str">
        <f aca="false">IF(ISNUMBER('Price List'!G9),IF('Price List'!G9&gt;'Price List'!F9,"OK","CHECK"),"n/a")</f>
        <v>n/a</v>
      </c>
      <c r="H15" s="11" t="n">
        <f aca="false">LEN('Price List'!C9)-LEN(SUBSTITUTE('Price List'!C9,",",""))+IF(RIGHT('Price List'!C9,1)=",",0,1)</f>
        <v>3</v>
      </c>
    </row>
    <row r="16" customFormat="false" ht="15" hidden="false" customHeight="false" outlineLevel="0" collapsed="false">
      <c r="A16" s="11" t="s">
        <v>10</v>
      </c>
      <c r="B16" s="11" t="str">
        <f aca="false">'Price List'!B10</f>
        <v>AI-1-2-209-0100105</v>
      </c>
      <c r="C16" s="14" t="n">
        <f aca="false">'Price List'!E10</f>
        <v>1799</v>
      </c>
      <c r="D16" s="14" t="n">
        <f aca="false">'Price List'!F10</f>
        <v>2375</v>
      </c>
      <c r="E16" s="15" t="n">
        <f aca="false">IFERROR(D16/C16,"")</f>
        <v>1.32017787659811</v>
      </c>
      <c r="F16" s="11" t="str">
        <f aca="false">IF(E16="","CHECK",IF(AND(E16&gt;=1.3,E16&lt;=1.35),"OK","CHECK"))</f>
        <v>OK</v>
      </c>
      <c r="G16" s="11" t="str">
        <f aca="false">IF(ISNUMBER('Price List'!G10),IF('Price List'!G10&gt;'Price List'!F10,"OK","CHECK"),"n/a")</f>
        <v>n/a</v>
      </c>
      <c r="H16" s="11" t="n">
        <f aca="false">LEN('Price List'!C10)-LEN(SUBSTITUTE('Price List'!C10,",",""))+IF(RIGHT('Price List'!C10,1)=",",0,1)</f>
        <v>1</v>
      </c>
    </row>
    <row r="17" customFormat="false" ht="15" hidden="false" customHeight="false" outlineLevel="0" collapsed="false">
      <c r="A17" s="11" t="s">
        <v>10</v>
      </c>
      <c r="B17" s="11" t="str">
        <f aca="false">'Price List'!B11</f>
        <v>AI-1-2-209-0100107</v>
      </c>
      <c r="C17" s="14" t="n">
        <f aca="false">'Price List'!E11</f>
        <v>1799</v>
      </c>
      <c r="D17" s="14" t="n">
        <f aca="false">'Price List'!F11</f>
        <v>2375</v>
      </c>
      <c r="E17" s="15" t="n">
        <f aca="false">IFERROR(D17/C17,"")</f>
        <v>1.32017787659811</v>
      </c>
      <c r="F17" s="11" t="str">
        <f aca="false">IF(E17="","CHECK",IF(AND(E17&gt;=1.3,E17&lt;=1.35),"OK","CHECK"))</f>
        <v>OK</v>
      </c>
      <c r="G17" s="11" t="str">
        <f aca="false">IF(ISNUMBER('Price List'!G11),IF('Price List'!G11&gt;'Price List'!F11,"OK","CHECK"),"n/a")</f>
        <v>n/a</v>
      </c>
      <c r="H17" s="11" t="n">
        <f aca="false">LEN('Price List'!C11)-LEN(SUBSTITUTE('Price List'!C11,",",""))+IF(RIGHT('Price List'!C11,1)=",",0,1)</f>
        <v>4</v>
      </c>
    </row>
    <row r="18" customFormat="false" ht="15" hidden="false" customHeight="false" outlineLevel="0" collapsed="false">
      <c r="A18" s="11" t="s">
        <v>10</v>
      </c>
      <c r="B18" s="11" t="str">
        <f aca="false">'Price List'!B12</f>
        <v>AI-1-2-209-0100108</v>
      </c>
      <c r="C18" s="14" t="n">
        <f aca="false">'Price List'!E12</f>
        <v>1799</v>
      </c>
      <c r="D18" s="14" t="n">
        <f aca="false">'Price List'!F12</f>
        <v>2375</v>
      </c>
      <c r="E18" s="15" t="n">
        <f aca="false">IFERROR(D18/C18,"")</f>
        <v>1.32017787659811</v>
      </c>
      <c r="F18" s="11" t="str">
        <f aca="false">IF(E18="","CHECK",IF(AND(E18&gt;=1.3,E18&lt;=1.35),"OK","CHECK"))</f>
        <v>OK</v>
      </c>
      <c r="G18" s="11" t="str">
        <f aca="false">IF(ISNUMBER('Price List'!G12),IF('Price List'!G12&gt;'Price List'!F12,"OK","CHECK"),"n/a")</f>
        <v>n/a</v>
      </c>
      <c r="H18" s="11" t="n">
        <f aca="false">LEN('Price List'!C12)-LEN(SUBSTITUTE('Price List'!C12,",",""))+IF(RIGHT('Price List'!C12,1)=",",0,1)</f>
        <v>4</v>
      </c>
    </row>
    <row r="19" customFormat="false" ht="15" hidden="false" customHeight="false" outlineLevel="0" collapsed="false">
      <c r="A19" s="11" t="s">
        <v>26</v>
      </c>
      <c r="B19" s="11" t="str">
        <f aca="false">'Price List'!B14</f>
        <v>AMB-1-1-999-0055101</v>
      </c>
      <c r="C19" s="14" t="n">
        <f aca="false">'Price List'!E14</f>
        <v>999</v>
      </c>
      <c r="D19" s="14" t="n">
        <f aca="false">'Price List'!F14</f>
        <v>1319</v>
      </c>
      <c r="E19" s="15" t="n">
        <f aca="false">IFERROR(D19/C19,"")</f>
        <v>1.32032032032032</v>
      </c>
      <c r="F19" s="11" t="str">
        <f aca="false">IF(E19="","CHECK",IF(AND(E19&gt;=1.3,E19&lt;=1.35),"OK","CHECK"))</f>
        <v>OK</v>
      </c>
      <c r="G19" s="11" t="str">
        <f aca="false">IF(ISNUMBER('Price List'!G14),IF('Price List'!G14&gt;'Price List'!F14,"OK","CHECK"),"n/a")</f>
        <v>OK</v>
      </c>
      <c r="H19" s="11" t="n">
        <f aca="false">LEN('Price List'!C14)-LEN(SUBSTITUTE('Price List'!C14,",",""))+IF(RIGHT('Price List'!C14,1)=",",0,1)</f>
        <v>1</v>
      </c>
    </row>
    <row r="20" customFormat="false" ht="15" hidden="false" customHeight="false" outlineLevel="0" collapsed="false">
      <c r="A20" s="11" t="s">
        <v>26</v>
      </c>
      <c r="B20" s="11" t="str">
        <f aca="false">'Price List'!B15</f>
        <v>AMB-1-1-999-0055102</v>
      </c>
      <c r="C20" s="14" t="n">
        <f aca="false">'Price List'!E15</f>
        <v>999</v>
      </c>
      <c r="D20" s="14" t="n">
        <f aca="false">'Price List'!F15</f>
        <v>1319</v>
      </c>
      <c r="E20" s="15" t="n">
        <f aca="false">IFERROR(D20/C20,"")</f>
        <v>1.32032032032032</v>
      </c>
      <c r="F20" s="11" t="str">
        <f aca="false">IF(E20="","CHECK",IF(AND(E20&gt;=1.3,E20&lt;=1.35),"OK","CHECK"))</f>
        <v>OK</v>
      </c>
      <c r="G20" s="11" t="str">
        <f aca="false">IF(ISNUMBER('Price List'!G15),IF('Price List'!G15&gt;'Price List'!F15,"OK","CHECK"),"n/a")</f>
        <v>OK</v>
      </c>
      <c r="H20" s="11" t="n">
        <f aca="false">LEN('Price List'!C15)-LEN(SUBSTITUTE('Price List'!C15,",",""))+IF(RIGHT('Price List'!C15,1)=",",0,1)</f>
        <v>1</v>
      </c>
    </row>
    <row r="21" customFormat="false" ht="15" hidden="false" customHeight="false" outlineLevel="0" collapsed="false">
      <c r="A21" s="11" t="s">
        <v>26</v>
      </c>
      <c r="B21" s="11" t="str">
        <f aca="false">'Price List'!B16</f>
        <v>AMB-1-1-999-0055103</v>
      </c>
      <c r="C21" s="14" t="n">
        <f aca="false">'Price List'!E16</f>
        <v>999</v>
      </c>
      <c r="D21" s="14" t="n">
        <f aca="false">'Price List'!F16</f>
        <v>1319</v>
      </c>
      <c r="E21" s="15" t="n">
        <f aca="false">IFERROR(D21/C21,"")</f>
        <v>1.32032032032032</v>
      </c>
      <c r="F21" s="11" t="str">
        <f aca="false">IF(E21="","CHECK",IF(AND(E21&gt;=1.3,E21&lt;=1.35),"OK","CHECK"))</f>
        <v>OK</v>
      </c>
      <c r="G21" s="11" t="str">
        <f aca="false">IF(ISNUMBER('Price List'!G16),IF('Price List'!G16&gt;'Price List'!F16,"OK","CHECK"),"n/a")</f>
        <v>OK</v>
      </c>
      <c r="H21" s="11" t="n">
        <f aca="false">LEN('Price List'!C16)-LEN(SUBSTITUTE('Price List'!C16,",",""))+IF(RIGHT('Price List'!C16,1)=",",0,1)</f>
        <v>1</v>
      </c>
    </row>
    <row r="22" customFormat="false" ht="15" hidden="false" customHeight="false" outlineLevel="0" collapsed="false">
      <c r="A22" s="11" t="s">
        <v>26</v>
      </c>
      <c r="B22" s="11" t="str">
        <f aca="false">'Price List'!B17</f>
        <v>AMB-1-1-999-0055104</v>
      </c>
      <c r="C22" s="14" t="n">
        <f aca="false">'Price List'!E17</f>
        <v>999</v>
      </c>
      <c r="D22" s="14" t="n">
        <f aca="false">'Price List'!F17</f>
        <v>1319</v>
      </c>
      <c r="E22" s="15" t="n">
        <f aca="false">IFERROR(D22/C22,"")</f>
        <v>1.32032032032032</v>
      </c>
      <c r="F22" s="11" t="str">
        <f aca="false">IF(E22="","CHECK",IF(AND(E22&gt;=1.3,E22&lt;=1.35),"OK","CHECK"))</f>
        <v>OK</v>
      </c>
      <c r="G22" s="11" t="str">
        <f aca="false">IF(ISNUMBER('Price List'!G17),IF('Price List'!G17&gt;'Price List'!F17,"OK","CHECK"),"n/a")</f>
        <v>OK</v>
      </c>
      <c r="H22" s="11" t="n">
        <f aca="false">LEN('Price List'!C17)-LEN(SUBSTITUTE('Price List'!C17,",",""))+IF(RIGHT('Price List'!C17,1)=",",0,1)</f>
        <v>1</v>
      </c>
    </row>
    <row r="23" customFormat="false" ht="15" hidden="false" customHeight="false" outlineLevel="0" collapsed="false">
      <c r="A23" s="11" t="s">
        <v>33</v>
      </c>
      <c r="B23" s="11" t="str">
        <f aca="false">'Price List'!B19</f>
        <v>ARO-1-1-105-0041000</v>
      </c>
      <c r="C23" s="14" t="n">
        <f aca="false">'Price List'!E19</f>
        <v>1299</v>
      </c>
      <c r="D23" s="14" t="n">
        <f aca="false">'Price List'!F19</f>
        <v>1728</v>
      </c>
      <c r="E23" s="15" t="n">
        <f aca="false">IFERROR(D23/C23,"")</f>
        <v>1.33025404157044</v>
      </c>
      <c r="F23" s="11" t="str">
        <f aca="false">IF(E23="","CHECK",IF(AND(E23&gt;=1.3,E23&lt;=1.35),"OK","CHECK"))</f>
        <v>OK</v>
      </c>
      <c r="G23" s="11" t="str">
        <f aca="false">IF(ISNUMBER('Price List'!G19),IF('Price List'!G19&gt;'Price List'!F19,"OK","CHECK"),"n/a")</f>
        <v>n/a</v>
      </c>
      <c r="H23" s="11" t="n">
        <f aca="false">LEN('Price List'!C19)-LEN(SUBSTITUTE('Price List'!C19,",",""))+IF(RIGHT('Price List'!C19,1)=",",0,1)</f>
        <v>68</v>
      </c>
    </row>
    <row r="24" customFormat="false" ht="15" hidden="false" customHeight="false" outlineLevel="0" collapsed="false">
      <c r="A24" s="11" t="s">
        <v>33</v>
      </c>
      <c r="B24" s="11" t="str">
        <f aca="false">'Price List'!B20</f>
        <v>ARO-1-1-105-0041001</v>
      </c>
      <c r="C24" s="14" t="n">
        <f aca="false">'Price List'!E20</f>
        <v>1399</v>
      </c>
      <c r="D24" s="14" t="n">
        <f aca="false">'Price List'!F20</f>
        <v>1861</v>
      </c>
      <c r="E24" s="15" t="n">
        <f aca="false">IFERROR(D24/C24,"")</f>
        <v>1.33023588277341</v>
      </c>
      <c r="F24" s="11" t="str">
        <f aca="false">IF(E24="","CHECK",IF(AND(E24&gt;=1.3,E24&lt;=1.35),"OK","CHECK"))</f>
        <v>OK</v>
      </c>
      <c r="G24" s="11" t="str">
        <f aca="false">IF(ISNUMBER('Price List'!G20),IF('Price List'!G20&gt;'Price List'!F20,"OK","CHECK"),"n/a")</f>
        <v>n/a</v>
      </c>
      <c r="H24" s="11" t="n">
        <f aca="false">LEN('Price List'!C20)-LEN(SUBSTITUTE('Price List'!C20,",",""))+IF(RIGHT('Price List'!C20,1)=",",0,1)</f>
        <v>2</v>
      </c>
    </row>
    <row r="25" customFormat="false" ht="15" hidden="false" customHeight="false" outlineLevel="0" collapsed="false">
      <c r="A25" s="11" t="s">
        <v>33</v>
      </c>
      <c r="B25" s="11" t="str">
        <f aca="false">'Price List'!B21</f>
        <v>ARO-1-1-105-0041006</v>
      </c>
      <c r="C25" s="14" t="n">
        <f aca="false">'Price List'!E21</f>
        <v>1399</v>
      </c>
      <c r="D25" s="14" t="n">
        <f aca="false">'Price List'!F21</f>
        <v>1861</v>
      </c>
      <c r="E25" s="15" t="n">
        <f aca="false">IFERROR(D25/C25,"")</f>
        <v>1.33023588277341</v>
      </c>
      <c r="F25" s="11" t="str">
        <f aca="false">IF(E25="","CHECK",IF(AND(E25&gt;=1.3,E25&lt;=1.35),"OK","CHECK"))</f>
        <v>OK</v>
      </c>
      <c r="G25" s="11" t="str">
        <f aca="false">IF(ISNUMBER('Price List'!G21),IF('Price List'!G21&gt;'Price List'!F21,"OK","CHECK"),"n/a")</f>
        <v>n/a</v>
      </c>
      <c r="H25" s="11" t="n">
        <f aca="false">LEN('Price List'!C21)-LEN(SUBSTITUTE('Price List'!C21,",",""))+IF(RIGHT('Price List'!C21,1)=",",0,1)</f>
        <v>2</v>
      </c>
    </row>
    <row r="26" customFormat="false" ht="15" hidden="false" customHeight="false" outlineLevel="0" collapsed="false">
      <c r="A26" s="11" t="s">
        <v>33</v>
      </c>
      <c r="B26" s="11" t="str">
        <f aca="false">'Price List'!B22</f>
        <v>ARO-1-1-105-0041009</v>
      </c>
      <c r="C26" s="14" t="n">
        <f aca="false">'Price List'!E22</f>
        <v>1399</v>
      </c>
      <c r="D26" s="14" t="n">
        <f aca="false">'Price List'!F22</f>
        <v>1861</v>
      </c>
      <c r="E26" s="15" t="n">
        <f aca="false">IFERROR(D26/C26,"")</f>
        <v>1.33023588277341</v>
      </c>
      <c r="F26" s="11" t="str">
        <f aca="false">IF(E26="","CHECK",IF(AND(E26&gt;=1.3,E26&lt;=1.35),"OK","CHECK"))</f>
        <v>OK</v>
      </c>
      <c r="G26" s="11" t="str">
        <f aca="false">IF(ISNUMBER('Price List'!G22),IF('Price List'!G22&gt;'Price List'!F22,"OK","CHECK"),"n/a")</f>
        <v>n/a</v>
      </c>
      <c r="H26" s="11" t="n">
        <f aca="false">LEN('Price List'!C22)-LEN(SUBSTITUTE('Price List'!C22,",",""))+IF(RIGHT('Price List'!C22,1)=",",0,1)</f>
        <v>8</v>
      </c>
    </row>
    <row r="27" customFormat="false" ht="15" hidden="false" customHeight="false" outlineLevel="0" collapsed="false">
      <c r="A27" s="11" t="s">
        <v>33</v>
      </c>
      <c r="B27" s="11" t="str">
        <f aca="false">'Price List'!B23</f>
        <v>ARO-1-1-105-0041017</v>
      </c>
      <c r="C27" s="14" t="n">
        <f aca="false">'Price List'!E23</f>
        <v>1399</v>
      </c>
      <c r="D27" s="14" t="n">
        <f aca="false">'Price List'!F23</f>
        <v>1861</v>
      </c>
      <c r="E27" s="15" t="n">
        <f aca="false">IFERROR(D27/C27,"")</f>
        <v>1.33023588277341</v>
      </c>
      <c r="F27" s="11" t="str">
        <f aca="false">IF(E27="","CHECK",IF(AND(E27&gt;=1.3,E27&lt;=1.35),"OK","CHECK"))</f>
        <v>OK</v>
      </c>
      <c r="G27" s="11" t="str">
        <f aca="false">IF(ISNUMBER('Price List'!G23),IF('Price List'!G23&gt;'Price List'!F23,"OK","CHECK"),"n/a")</f>
        <v>n/a</v>
      </c>
      <c r="H27" s="11" t="n">
        <f aca="false">LEN('Price List'!C23)-LEN(SUBSTITUTE('Price List'!C23,",",""))+IF(RIGHT('Price List'!C23,1)=",",0,1)</f>
        <v>3</v>
      </c>
    </row>
    <row r="28" customFormat="false" ht="15" hidden="false" customHeight="false" outlineLevel="0" collapsed="false">
      <c r="A28" s="11" t="s">
        <v>33</v>
      </c>
      <c r="B28" s="11" t="str">
        <f aca="false">'Price List'!B24</f>
        <v>ARO-1-1-105-0041019</v>
      </c>
      <c r="C28" s="14" t="n">
        <f aca="false">'Price List'!E24</f>
        <v>1399</v>
      </c>
      <c r="D28" s="14" t="n">
        <f aca="false">'Price List'!F24</f>
        <v>1861</v>
      </c>
      <c r="E28" s="15" t="n">
        <f aca="false">IFERROR(D28/C28,"")</f>
        <v>1.33023588277341</v>
      </c>
      <c r="F28" s="11" t="str">
        <f aca="false">IF(E28="","CHECK",IF(AND(E28&gt;=1.3,E28&lt;=1.35),"OK","CHECK"))</f>
        <v>OK</v>
      </c>
      <c r="G28" s="11" t="str">
        <f aca="false">IF(ISNUMBER('Price List'!G24),IF('Price List'!G24&gt;'Price List'!F24,"OK","CHECK"),"n/a")</f>
        <v>n/a</v>
      </c>
      <c r="H28" s="11" t="n">
        <f aca="false">LEN('Price List'!C24)-LEN(SUBSTITUTE('Price List'!C24,",",""))+IF(RIGHT('Price List'!C24,1)=",",0,1)</f>
        <v>2</v>
      </c>
    </row>
    <row r="29" customFormat="false" ht="15" hidden="false" customHeight="false" outlineLevel="0" collapsed="false">
      <c r="A29" s="11" t="s">
        <v>33</v>
      </c>
      <c r="B29" s="11" t="str">
        <f aca="false">'Price List'!B25</f>
        <v>ARO-1-1-105-0041022</v>
      </c>
      <c r="C29" s="14" t="n">
        <f aca="false">'Price List'!E25</f>
        <v>1399</v>
      </c>
      <c r="D29" s="14" t="n">
        <f aca="false">'Price List'!F25</f>
        <v>1861</v>
      </c>
      <c r="E29" s="15" t="n">
        <f aca="false">IFERROR(D29/C29,"")</f>
        <v>1.33023588277341</v>
      </c>
      <c r="F29" s="11" t="str">
        <f aca="false">IF(E29="","CHECK",IF(AND(E29&gt;=1.3,E29&lt;=1.35),"OK","CHECK"))</f>
        <v>OK</v>
      </c>
      <c r="G29" s="11" t="str">
        <f aca="false">IF(ISNUMBER('Price List'!G25),IF('Price List'!G25&gt;'Price List'!F25,"OK","CHECK"),"n/a")</f>
        <v>n/a</v>
      </c>
      <c r="H29" s="11" t="n">
        <f aca="false">LEN('Price List'!C25)-LEN(SUBSTITUTE('Price List'!C25,",",""))+IF(RIGHT('Price List'!C25,1)=",",0,1)</f>
        <v>1</v>
      </c>
    </row>
    <row r="30" customFormat="false" ht="15" hidden="false" customHeight="false" outlineLevel="0" collapsed="false">
      <c r="A30" s="11" t="s">
        <v>33</v>
      </c>
      <c r="B30" s="11" t="str">
        <f aca="false">'Price List'!B26</f>
        <v>ARO-1-1-105-0041023</v>
      </c>
      <c r="C30" s="14" t="n">
        <f aca="false">'Price List'!E26</f>
        <v>1399</v>
      </c>
      <c r="D30" s="14" t="n">
        <f aca="false">'Price List'!F26</f>
        <v>1861</v>
      </c>
      <c r="E30" s="15" t="n">
        <f aca="false">IFERROR(D30/C30,"")</f>
        <v>1.33023588277341</v>
      </c>
      <c r="F30" s="11" t="str">
        <f aca="false">IF(E30="","CHECK",IF(AND(E30&gt;=1.3,E30&lt;=1.35),"OK","CHECK"))</f>
        <v>OK</v>
      </c>
      <c r="G30" s="11" t="str">
        <f aca="false">IF(ISNUMBER('Price List'!G26),IF('Price List'!G26&gt;'Price List'!F26,"OK","CHECK"),"n/a")</f>
        <v>n/a</v>
      </c>
      <c r="H30" s="11" t="n">
        <f aca="false">LEN('Price List'!C26)-LEN(SUBSTITUTE('Price List'!C26,",",""))+IF(RIGHT('Price List'!C26,1)=",",0,1)</f>
        <v>1</v>
      </c>
    </row>
    <row r="31" customFormat="false" ht="15" hidden="false" customHeight="false" outlineLevel="0" collapsed="false">
      <c r="A31" s="11" t="s">
        <v>33</v>
      </c>
      <c r="B31" s="11" t="str">
        <f aca="false">'Price List'!B27</f>
        <v>ARO-1-1-105-0041024</v>
      </c>
      <c r="C31" s="14" t="n">
        <f aca="false">'Price List'!E27</f>
        <v>1399</v>
      </c>
      <c r="D31" s="14" t="n">
        <f aca="false">'Price List'!F27</f>
        <v>1861</v>
      </c>
      <c r="E31" s="15" t="n">
        <f aca="false">IFERROR(D31/C31,"")</f>
        <v>1.33023588277341</v>
      </c>
      <c r="F31" s="11" t="str">
        <f aca="false">IF(E31="","CHECK",IF(AND(E31&gt;=1.3,E31&lt;=1.35),"OK","CHECK"))</f>
        <v>OK</v>
      </c>
      <c r="G31" s="11" t="str">
        <f aca="false">IF(ISNUMBER('Price List'!G27),IF('Price List'!G27&gt;'Price List'!F27,"OK","CHECK"),"n/a")</f>
        <v>n/a</v>
      </c>
      <c r="H31" s="11" t="n">
        <f aca="false">LEN('Price List'!C27)-LEN(SUBSTITUTE('Price List'!C27,",",""))+IF(RIGHT('Price List'!C27,1)=",",0,1)</f>
        <v>10</v>
      </c>
    </row>
    <row r="32" customFormat="false" ht="15" hidden="false" customHeight="false" outlineLevel="0" collapsed="false">
      <c r="A32" s="11" t="s">
        <v>33</v>
      </c>
      <c r="B32" s="11" t="str">
        <f aca="false">'Price List'!B28</f>
        <v>ARO-1-1-105-0041026</v>
      </c>
      <c r="C32" s="14" t="n">
        <f aca="false">'Price List'!E28</f>
        <v>1399</v>
      </c>
      <c r="D32" s="14" t="n">
        <f aca="false">'Price List'!F28</f>
        <v>1861</v>
      </c>
      <c r="E32" s="15" t="n">
        <f aca="false">IFERROR(D32/C32,"")</f>
        <v>1.33023588277341</v>
      </c>
      <c r="F32" s="11" t="str">
        <f aca="false">IF(E32="","CHECK",IF(AND(E32&gt;=1.3,E32&lt;=1.35),"OK","CHECK"))</f>
        <v>OK</v>
      </c>
      <c r="G32" s="11" t="str">
        <f aca="false">IF(ISNUMBER('Price List'!G28),IF('Price List'!G28&gt;'Price List'!F28,"OK","CHECK"),"n/a")</f>
        <v>n/a</v>
      </c>
      <c r="H32" s="11" t="n">
        <f aca="false">LEN('Price List'!C28)-LEN(SUBSTITUTE('Price List'!C28,",",""))+IF(RIGHT('Price List'!C28,1)=",",0,1)</f>
        <v>17</v>
      </c>
    </row>
    <row r="33" customFormat="false" ht="15" hidden="false" customHeight="false" outlineLevel="0" collapsed="false">
      <c r="A33" s="11" t="s">
        <v>33</v>
      </c>
      <c r="B33" s="11" t="str">
        <f aca="false">'Price List'!B29</f>
        <v>ARO-1-1-105-0041027</v>
      </c>
      <c r="C33" s="14" t="n">
        <f aca="false">'Price List'!E29</f>
        <v>1399</v>
      </c>
      <c r="D33" s="14" t="n">
        <f aca="false">'Price List'!F29</f>
        <v>1861</v>
      </c>
      <c r="E33" s="15" t="n">
        <f aca="false">IFERROR(D33/C33,"")</f>
        <v>1.33023588277341</v>
      </c>
      <c r="F33" s="11" t="str">
        <f aca="false">IF(E33="","CHECK",IF(AND(E33&gt;=1.3,E33&lt;=1.35),"OK","CHECK"))</f>
        <v>OK</v>
      </c>
      <c r="G33" s="11" t="str">
        <f aca="false">IF(ISNUMBER('Price List'!G29),IF('Price List'!G29&gt;'Price List'!F29,"OK","CHECK"),"n/a")</f>
        <v>n/a</v>
      </c>
      <c r="H33" s="11" t="n">
        <f aca="false">LEN('Price List'!C29)-LEN(SUBSTITUTE('Price List'!C29,",",""))+IF(RIGHT('Price List'!C29,1)=",",0,1)</f>
        <v>4</v>
      </c>
    </row>
    <row r="34" customFormat="false" ht="15" hidden="false" customHeight="false" outlineLevel="0" collapsed="false">
      <c r="A34" s="11" t="s">
        <v>33</v>
      </c>
      <c r="B34" s="11" t="str">
        <f aca="false">'Price List'!B30</f>
        <v>ARO-1-1-105-0041030</v>
      </c>
      <c r="C34" s="14" t="n">
        <f aca="false">'Price List'!E30</f>
        <v>1375</v>
      </c>
      <c r="D34" s="14" t="n">
        <f aca="false">'Price List'!F30</f>
        <v>1829</v>
      </c>
      <c r="E34" s="15" t="n">
        <f aca="false">IFERROR(D34/C34,"")</f>
        <v>1.33018181818182</v>
      </c>
      <c r="F34" s="11" t="str">
        <f aca="false">IF(E34="","CHECK",IF(AND(E34&gt;=1.3,E34&lt;=1.35),"OK","CHECK"))</f>
        <v>OK</v>
      </c>
      <c r="G34" s="11" t="str">
        <f aca="false">IF(ISNUMBER('Price List'!G30),IF('Price List'!G30&gt;'Price List'!F30,"OK","CHECK"),"n/a")</f>
        <v>n/a</v>
      </c>
      <c r="H34" s="11" t="n">
        <f aca="false">LEN('Price List'!C30)-LEN(SUBSTITUTE('Price List'!C30,",",""))+IF(RIGHT('Price List'!C30,1)=",",0,1)</f>
        <v>17</v>
      </c>
    </row>
    <row r="35" customFormat="false" ht="15" hidden="false" customHeight="false" outlineLevel="0" collapsed="false">
      <c r="A35" s="11" t="s">
        <v>33</v>
      </c>
      <c r="B35" s="11" t="str">
        <f aca="false">'Price List'!B31</f>
        <v>ARO-1-1-105-0041031</v>
      </c>
      <c r="C35" s="14" t="n">
        <f aca="false">'Price List'!E31</f>
        <v>1375</v>
      </c>
      <c r="D35" s="14" t="n">
        <f aca="false">'Price List'!F31</f>
        <v>1829</v>
      </c>
      <c r="E35" s="15" t="n">
        <f aca="false">IFERROR(D35/C35,"")</f>
        <v>1.33018181818182</v>
      </c>
      <c r="F35" s="11" t="str">
        <f aca="false">IF(E35="","CHECK",IF(AND(E35&gt;=1.3,E35&lt;=1.35),"OK","CHECK"))</f>
        <v>OK</v>
      </c>
      <c r="G35" s="11" t="str">
        <f aca="false">IF(ISNUMBER('Price List'!G31),IF('Price List'!G31&gt;'Price List'!F31,"OK","CHECK"),"n/a")</f>
        <v>n/a</v>
      </c>
      <c r="H35" s="11" t="n">
        <f aca="false">LEN('Price List'!C31)-LEN(SUBSTITUTE('Price List'!C31,",",""))+IF(RIGHT('Price List'!C31,1)=",",0,1)</f>
        <v>15</v>
      </c>
    </row>
    <row r="36" customFormat="false" ht="15" hidden="false" customHeight="false" outlineLevel="0" collapsed="false">
      <c r="A36" s="11" t="s">
        <v>33</v>
      </c>
      <c r="B36" s="11" t="str">
        <f aca="false">'Price List'!B32</f>
        <v>ARO-1-1-105-0041032</v>
      </c>
      <c r="C36" s="14" t="n">
        <f aca="false">'Price List'!E32</f>
        <v>1399</v>
      </c>
      <c r="D36" s="14" t="n">
        <f aca="false">'Price List'!F32</f>
        <v>1861</v>
      </c>
      <c r="E36" s="15" t="n">
        <f aca="false">IFERROR(D36/C36,"")</f>
        <v>1.33023588277341</v>
      </c>
      <c r="F36" s="11" t="str">
        <f aca="false">IF(E36="","CHECK",IF(AND(E36&gt;=1.3,E36&lt;=1.35),"OK","CHECK"))</f>
        <v>OK</v>
      </c>
      <c r="G36" s="11" t="str">
        <f aca="false">IF(ISNUMBER('Price List'!G32),IF('Price List'!G32&gt;'Price List'!F32,"OK","CHECK"),"n/a")</f>
        <v>n/a</v>
      </c>
      <c r="H36" s="11" t="n">
        <f aca="false">LEN('Price List'!C32)-LEN(SUBSTITUTE('Price List'!C32,",",""))+IF(RIGHT('Price List'!C32,1)=",",0,1)</f>
        <v>2</v>
      </c>
    </row>
    <row r="37" customFormat="false" ht="15" hidden="false" customHeight="false" outlineLevel="0" collapsed="false">
      <c r="A37" s="11" t="s">
        <v>33</v>
      </c>
      <c r="B37" s="11" t="str">
        <f aca="false">'Price List'!B33</f>
        <v>ARO-1-1-105-0041033</v>
      </c>
      <c r="C37" s="14" t="n">
        <f aca="false">'Price List'!E33</f>
        <v>1399</v>
      </c>
      <c r="D37" s="14" t="n">
        <f aca="false">'Price List'!F33</f>
        <v>1861</v>
      </c>
      <c r="E37" s="15" t="n">
        <f aca="false">IFERROR(D37/C37,"")</f>
        <v>1.33023588277341</v>
      </c>
      <c r="F37" s="11" t="str">
        <f aca="false">IF(E37="","CHECK",IF(AND(E37&gt;=1.3,E37&lt;=1.35),"OK","CHECK"))</f>
        <v>OK</v>
      </c>
      <c r="G37" s="11" t="str">
        <f aca="false">IF(ISNUMBER('Price List'!G33),IF('Price List'!G33&gt;'Price List'!F33,"OK","CHECK"),"n/a")</f>
        <v>n/a</v>
      </c>
      <c r="H37" s="11" t="n">
        <f aca="false">LEN('Price List'!C33)-LEN(SUBSTITUTE('Price List'!C33,",",""))+IF(RIGHT('Price List'!C33,1)=",",0,1)</f>
        <v>3</v>
      </c>
    </row>
    <row r="38" customFormat="false" ht="15" hidden="false" customHeight="false" outlineLevel="0" collapsed="false">
      <c r="A38" s="11" t="s">
        <v>33</v>
      </c>
      <c r="B38" s="11" t="str">
        <f aca="false">'Price List'!B34</f>
        <v>ARO-1-1-105-0041034</v>
      </c>
      <c r="C38" s="14" t="n">
        <f aca="false">'Price List'!E34</f>
        <v>1399</v>
      </c>
      <c r="D38" s="14" t="n">
        <f aca="false">'Price List'!F34</f>
        <v>1861</v>
      </c>
      <c r="E38" s="15" t="n">
        <f aca="false">IFERROR(D38/C38,"")</f>
        <v>1.33023588277341</v>
      </c>
      <c r="F38" s="11" t="str">
        <f aca="false">IF(E38="","CHECK",IF(AND(E38&gt;=1.3,E38&lt;=1.35),"OK","CHECK"))</f>
        <v>OK</v>
      </c>
      <c r="G38" s="11" t="str">
        <f aca="false">IF(ISNUMBER('Price List'!G34),IF('Price List'!G34&gt;'Price List'!F34,"OK","CHECK"),"n/a")</f>
        <v>n/a</v>
      </c>
      <c r="H38" s="11" t="n">
        <f aca="false">LEN('Price List'!C34)-LEN(SUBSTITUTE('Price List'!C34,",",""))+IF(RIGHT('Price List'!C34,1)=",",0,1)</f>
        <v>2</v>
      </c>
    </row>
    <row r="39" customFormat="false" ht="15" hidden="false" customHeight="false" outlineLevel="0" collapsed="false">
      <c r="A39" s="11" t="s">
        <v>33</v>
      </c>
      <c r="B39" s="11" t="str">
        <f aca="false">'Price List'!B35</f>
        <v>ARO-1-1-105-0041035</v>
      </c>
      <c r="C39" s="14" t="n">
        <f aca="false">'Price List'!E35</f>
        <v>1399</v>
      </c>
      <c r="D39" s="14" t="n">
        <f aca="false">'Price List'!F35</f>
        <v>1861</v>
      </c>
      <c r="E39" s="15" t="n">
        <f aca="false">IFERROR(D39/C39,"")</f>
        <v>1.33023588277341</v>
      </c>
      <c r="F39" s="11" t="str">
        <f aca="false">IF(E39="","CHECK",IF(AND(E39&gt;=1.3,E39&lt;=1.35),"OK","CHECK"))</f>
        <v>OK</v>
      </c>
      <c r="G39" s="11" t="str">
        <f aca="false">IF(ISNUMBER('Price List'!G35),IF('Price List'!G35&gt;'Price List'!F35,"OK","CHECK"),"n/a")</f>
        <v>n/a</v>
      </c>
      <c r="H39" s="11" t="n">
        <f aca="false">LEN('Price List'!C35)-LEN(SUBSTITUTE('Price List'!C35,",",""))+IF(RIGHT('Price List'!C35,1)=",",0,1)</f>
        <v>2</v>
      </c>
    </row>
    <row r="40" customFormat="false" ht="15" hidden="false" customHeight="false" outlineLevel="0" collapsed="false">
      <c r="A40" s="11" t="s">
        <v>33</v>
      </c>
      <c r="B40" s="11" t="str">
        <f aca="false">'Price List'!B36</f>
        <v>ARO-1-1-105-0041036</v>
      </c>
      <c r="C40" s="14" t="n">
        <f aca="false">'Price List'!E36</f>
        <v>1399</v>
      </c>
      <c r="D40" s="14" t="n">
        <f aca="false">'Price List'!F36</f>
        <v>1861</v>
      </c>
      <c r="E40" s="15" t="n">
        <f aca="false">IFERROR(D40/C40,"")</f>
        <v>1.33023588277341</v>
      </c>
      <c r="F40" s="11" t="str">
        <f aca="false">IF(E40="","CHECK",IF(AND(E40&gt;=1.3,E40&lt;=1.35),"OK","CHECK"))</f>
        <v>OK</v>
      </c>
      <c r="G40" s="11" t="str">
        <f aca="false">IF(ISNUMBER('Price List'!G36),IF('Price List'!G36&gt;'Price List'!F36,"OK","CHECK"),"n/a")</f>
        <v>n/a</v>
      </c>
      <c r="H40" s="11" t="n">
        <f aca="false">LEN('Price List'!C36)-LEN(SUBSTITUTE('Price List'!C36,",",""))+IF(RIGHT('Price List'!C36,1)=",",0,1)</f>
        <v>1</v>
      </c>
    </row>
    <row r="41" customFormat="false" ht="15" hidden="false" customHeight="false" outlineLevel="0" collapsed="false">
      <c r="A41" s="11" t="s">
        <v>33</v>
      </c>
      <c r="B41" s="11" t="str">
        <f aca="false">'Price List'!B37</f>
        <v>ARO-1-1-105-0041037</v>
      </c>
      <c r="C41" s="14" t="n">
        <f aca="false">'Price List'!E37</f>
        <v>1399</v>
      </c>
      <c r="D41" s="14" t="n">
        <f aca="false">'Price List'!F37</f>
        <v>1861</v>
      </c>
      <c r="E41" s="15" t="n">
        <f aca="false">IFERROR(D41/C41,"")</f>
        <v>1.33023588277341</v>
      </c>
      <c r="F41" s="11" t="str">
        <f aca="false">IF(E41="","CHECK",IF(AND(E41&gt;=1.3,E41&lt;=1.35),"OK","CHECK"))</f>
        <v>OK</v>
      </c>
      <c r="G41" s="11" t="str">
        <f aca="false">IF(ISNUMBER('Price List'!G37),IF('Price List'!G37&gt;'Price List'!F37,"OK","CHECK"),"n/a")</f>
        <v>n/a</v>
      </c>
      <c r="H41" s="11" t="n">
        <f aca="false">LEN('Price List'!C37)-LEN(SUBSTITUTE('Price List'!C37,",",""))+IF(RIGHT('Price List'!C37,1)=",",0,1)</f>
        <v>2</v>
      </c>
    </row>
    <row r="42" customFormat="false" ht="15" hidden="false" customHeight="false" outlineLevel="0" collapsed="false">
      <c r="A42" s="11" t="s">
        <v>33</v>
      </c>
      <c r="B42" s="11" t="str">
        <f aca="false">'Price List'!B38</f>
        <v>ARO-1-1-105-0041038</v>
      </c>
      <c r="C42" s="14" t="n">
        <f aca="false">'Price List'!E38</f>
        <v>1399</v>
      </c>
      <c r="D42" s="14" t="n">
        <f aca="false">'Price List'!F38</f>
        <v>1861</v>
      </c>
      <c r="E42" s="15" t="n">
        <f aca="false">IFERROR(D42/C42,"")</f>
        <v>1.33023588277341</v>
      </c>
      <c r="F42" s="11" t="str">
        <f aca="false">IF(E42="","CHECK",IF(AND(E42&gt;=1.3,E42&lt;=1.35),"OK","CHECK"))</f>
        <v>OK</v>
      </c>
      <c r="G42" s="11" t="str">
        <f aca="false">IF(ISNUMBER('Price List'!G38),IF('Price List'!G38&gt;'Price List'!F38,"OK","CHECK"),"n/a")</f>
        <v>n/a</v>
      </c>
      <c r="H42" s="11" t="n">
        <f aca="false">LEN('Price List'!C38)-LEN(SUBSTITUTE('Price List'!C38,",",""))+IF(RIGHT('Price List'!C38,1)=",",0,1)</f>
        <v>6</v>
      </c>
    </row>
    <row r="43" customFormat="false" ht="15" hidden="false" customHeight="false" outlineLevel="0" collapsed="false">
      <c r="A43" s="11" t="s">
        <v>33</v>
      </c>
      <c r="B43" s="11" t="str">
        <f aca="false">'Price List'!B39</f>
        <v>ARO-1-1-105-0041039</v>
      </c>
      <c r="C43" s="14" t="n">
        <f aca="false">'Price List'!E39</f>
        <v>1399</v>
      </c>
      <c r="D43" s="14" t="n">
        <f aca="false">'Price List'!F39</f>
        <v>1861</v>
      </c>
      <c r="E43" s="15" t="n">
        <f aca="false">IFERROR(D43/C43,"")</f>
        <v>1.33023588277341</v>
      </c>
      <c r="F43" s="11" t="str">
        <f aca="false">IF(E43="","CHECK",IF(AND(E43&gt;=1.3,E43&lt;=1.35),"OK","CHECK"))</f>
        <v>OK</v>
      </c>
      <c r="G43" s="11" t="str">
        <f aca="false">IF(ISNUMBER('Price List'!G39),IF('Price List'!G39&gt;'Price List'!F39,"OK","CHECK"),"n/a")</f>
        <v>n/a</v>
      </c>
      <c r="H43" s="11" t="n">
        <f aca="false">LEN('Price List'!C39)-LEN(SUBSTITUTE('Price List'!C39,",",""))+IF(RIGHT('Price List'!C39,1)=",",0,1)</f>
        <v>3</v>
      </c>
    </row>
    <row r="44" customFormat="false" ht="15" hidden="false" customHeight="false" outlineLevel="0" collapsed="false">
      <c r="A44" s="11" t="s">
        <v>33</v>
      </c>
      <c r="B44" s="11" t="str">
        <f aca="false">'Price List'!B40</f>
        <v>ARO-1-1-105-0041040</v>
      </c>
      <c r="C44" s="14" t="n">
        <f aca="false">'Price List'!E40</f>
        <v>1399</v>
      </c>
      <c r="D44" s="14" t="n">
        <f aca="false">'Price List'!F40</f>
        <v>1861</v>
      </c>
      <c r="E44" s="15" t="n">
        <f aca="false">IFERROR(D44/C44,"")</f>
        <v>1.33023588277341</v>
      </c>
      <c r="F44" s="11" t="str">
        <f aca="false">IF(E44="","CHECK",IF(AND(E44&gt;=1.3,E44&lt;=1.35),"OK","CHECK"))</f>
        <v>OK</v>
      </c>
      <c r="G44" s="11" t="str">
        <f aca="false">IF(ISNUMBER('Price List'!G40),IF('Price List'!G40&gt;'Price List'!F40,"OK","CHECK"),"n/a")</f>
        <v>n/a</v>
      </c>
      <c r="H44" s="11" t="n">
        <f aca="false">LEN('Price List'!C40)-LEN(SUBSTITUTE('Price List'!C40,",",""))+IF(RIGHT('Price List'!C40,1)=",",0,1)</f>
        <v>5</v>
      </c>
    </row>
    <row r="45" customFormat="false" ht="15" hidden="false" customHeight="false" outlineLevel="0" collapsed="false">
      <c r="A45" s="11" t="s">
        <v>33</v>
      </c>
      <c r="B45" s="11" t="str">
        <f aca="false">'Price List'!B41</f>
        <v>ARO-1-1-105-0041041</v>
      </c>
      <c r="C45" s="14" t="n">
        <f aca="false">'Price List'!E41</f>
        <v>1399</v>
      </c>
      <c r="D45" s="14" t="n">
        <f aca="false">'Price List'!F41</f>
        <v>1861</v>
      </c>
      <c r="E45" s="15" t="n">
        <f aca="false">IFERROR(D45/C45,"")</f>
        <v>1.33023588277341</v>
      </c>
      <c r="F45" s="11" t="str">
        <f aca="false">IF(E45="","CHECK",IF(AND(E45&gt;=1.3,E45&lt;=1.35),"OK","CHECK"))</f>
        <v>OK</v>
      </c>
      <c r="G45" s="11" t="str">
        <f aca="false">IF(ISNUMBER('Price List'!G41),IF('Price List'!G41&gt;'Price List'!F41,"OK","CHECK"),"n/a")</f>
        <v>n/a</v>
      </c>
      <c r="H45" s="11" t="n">
        <f aca="false">LEN('Price List'!C41)-LEN(SUBSTITUTE('Price List'!C41,",",""))+IF(RIGHT('Price List'!C41,1)=",",0,1)</f>
        <v>4</v>
      </c>
    </row>
    <row r="46" customFormat="false" ht="15" hidden="false" customHeight="false" outlineLevel="0" collapsed="false">
      <c r="A46" s="11" t="s">
        <v>33</v>
      </c>
      <c r="B46" s="11" t="str">
        <f aca="false">'Price List'!B42</f>
        <v>ARO-1-1-105-0041042</v>
      </c>
      <c r="C46" s="14" t="n">
        <f aca="false">'Price List'!E42</f>
        <v>1399</v>
      </c>
      <c r="D46" s="14" t="n">
        <f aca="false">'Price List'!F42</f>
        <v>1861</v>
      </c>
      <c r="E46" s="15" t="n">
        <f aca="false">IFERROR(D46/C46,"")</f>
        <v>1.33023588277341</v>
      </c>
      <c r="F46" s="11" t="str">
        <f aca="false">IF(E46="","CHECK",IF(AND(E46&gt;=1.3,E46&lt;=1.35),"OK","CHECK"))</f>
        <v>OK</v>
      </c>
      <c r="G46" s="11" t="str">
        <f aca="false">IF(ISNUMBER('Price List'!G42),IF('Price List'!G42&gt;'Price List'!F42,"OK","CHECK"),"n/a")</f>
        <v>n/a</v>
      </c>
      <c r="H46" s="11" t="n">
        <f aca="false">LEN('Price List'!C42)-LEN(SUBSTITUTE('Price List'!C42,",",""))+IF(RIGHT('Price List'!C42,1)=",",0,1)</f>
        <v>2</v>
      </c>
    </row>
    <row r="47" customFormat="false" ht="15" hidden="false" customHeight="false" outlineLevel="0" collapsed="false">
      <c r="A47" s="11" t="s">
        <v>33</v>
      </c>
      <c r="B47" s="11" t="str">
        <f aca="false">'Price List'!B43</f>
        <v>ARO-1-1-105-0041043</v>
      </c>
      <c r="C47" s="14" t="n">
        <f aca="false">'Price List'!E43</f>
        <v>1399</v>
      </c>
      <c r="D47" s="14" t="n">
        <f aca="false">'Price List'!F43</f>
        <v>1861</v>
      </c>
      <c r="E47" s="15" t="n">
        <f aca="false">IFERROR(D47/C47,"")</f>
        <v>1.33023588277341</v>
      </c>
      <c r="F47" s="11" t="str">
        <f aca="false">IF(E47="","CHECK",IF(AND(E47&gt;=1.3,E47&lt;=1.35),"OK","CHECK"))</f>
        <v>OK</v>
      </c>
      <c r="G47" s="11" t="str">
        <f aca="false">IF(ISNUMBER('Price List'!G43),IF('Price List'!G43&gt;'Price List'!F43,"OK","CHECK"),"n/a")</f>
        <v>n/a</v>
      </c>
      <c r="H47" s="11" t="n">
        <f aca="false">LEN('Price List'!C43)-LEN(SUBSTITUTE('Price List'!C43,",",""))+IF(RIGHT('Price List'!C43,1)=",",0,1)</f>
        <v>2</v>
      </c>
    </row>
    <row r="48" customFormat="false" ht="15" hidden="false" customHeight="false" outlineLevel="0" collapsed="false">
      <c r="A48" s="11" t="s">
        <v>33</v>
      </c>
      <c r="B48" s="11" t="str">
        <f aca="false">'Price List'!B44</f>
        <v>ARO-1-1-105-0041044</v>
      </c>
      <c r="C48" s="14" t="n">
        <f aca="false">'Price List'!E44</f>
        <v>1399</v>
      </c>
      <c r="D48" s="14" t="n">
        <f aca="false">'Price List'!F44</f>
        <v>1861</v>
      </c>
      <c r="E48" s="15" t="n">
        <f aca="false">IFERROR(D48/C48,"")</f>
        <v>1.33023588277341</v>
      </c>
      <c r="F48" s="11" t="str">
        <f aca="false">IF(E48="","CHECK",IF(AND(E48&gt;=1.3,E48&lt;=1.35),"OK","CHECK"))</f>
        <v>OK</v>
      </c>
      <c r="G48" s="11" t="str">
        <f aca="false">IF(ISNUMBER('Price List'!G44),IF('Price List'!G44&gt;'Price List'!F44,"OK","CHECK"),"n/a")</f>
        <v>n/a</v>
      </c>
      <c r="H48" s="11" t="n">
        <f aca="false">LEN('Price List'!C44)-LEN(SUBSTITUTE('Price List'!C44,",",""))+IF(RIGHT('Price List'!C44,1)=",",0,1)</f>
        <v>2</v>
      </c>
    </row>
    <row r="49" customFormat="false" ht="15" hidden="false" customHeight="false" outlineLevel="0" collapsed="false">
      <c r="A49" s="11" t="s">
        <v>33</v>
      </c>
      <c r="B49" s="11" t="str">
        <f aca="false">'Price List'!B45</f>
        <v>ARO-1-1-105-0041045</v>
      </c>
      <c r="C49" s="14" t="n">
        <f aca="false">'Price List'!E45</f>
        <v>1399</v>
      </c>
      <c r="D49" s="14" t="n">
        <f aca="false">'Price List'!F45</f>
        <v>1861</v>
      </c>
      <c r="E49" s="15" t="n">
        <f aca="false">IFERROR(D49/C49,"")</f>
        <v>1.33023588277341</v>
      </c>
      <c r="F49" s="11" t="str">
        <f aca="false">IF(E49="","CHECK",IF(AND(E49&gt;=1.3,E49&lt;=1.35),"OK","CHECK"))</f>
        <v>OK</v>
      </c>
      <c r="G49" s="11" t="str">
        <f aca="false">IF(ISNUMBER('Price List'!G45),IF('Price List'!G45&gt;'Price List'!F45,"OK","CHECK"),"n/a")</f>
        <v>n/a</v>
      </c>
      <c r="H49" s="11" t="n">
        <f aca="false">LEN('Price List'!C45)-LEN(SUBSTITUTE('Price List'!C45,",",""))+IF(RIGHT('Price List'!C45,1)=",",0,1)</f>
        <v>3</v>
      </c>
    </row>
    <row r="50" customFormat="false" ht="15" hidden="false" customHeight="false" outlineLevel="0" collapsed="false">
      <c r="A50" s="11" t="s">
        <v>33</v>
      </c>
      <c r="B50" s="11" t="str">
        <f aca="false">'Price List'!B46</f>
        <v>ARO-1-1-105-0041046</v>
      </c>
      <c r="C50" s="14" t="n">
        <f aca="false">'Price List'!E46</f>
        <v>1399</v>
      </c>
      <c r="D50" s="14" t="n">
        <f aca="false">'Price List'!F46</f>
        <v>1861</v>
      </c>
      <c r="E50" s="15" t="n">
        <f aca="false">IFERROR(D50/C50,"")</f>
        <v>1.33023588277341</v>
      </c>
      <c r="F50" s="11" t="str">
        <f aca="false">IF(E50="","CHECK",IF(AND(E50&gt;=1.3,E50&lt;=1.35),"OK","CHECK"))</f>
        <v>OK</v>
      </c>
      <c r="G50" s="11" t="str">
        <f aca="false">IF(ISNUMBER('Price List'!G46),IF('Price List'!G46&gt;'Price List'!F46,"OK","CHECK"),"n/a")</f>
        <v>n/a</v>
      </c>
      <c r="H50" s="11" t="n">
        <f aca="false">LEN('Price List'!C46)-LEN(SUBSTITUTE('Price List'!C46,",",""))+IF(RIGHT('Price List'!C46,1)=",",0,1)</f>
        <v>4</v>
      </c>
    </row>
    <row r="51" customFormat="false" ht="15" hidden="false" customHeight="false" outlineLevel="0" collapsed="false">
      <c r="A51" s="11" t="s">
        <v>33</v>
      </c>
      <c r="B51" s="11" t="str">
        <f aca="false">'Price List'!B47</f>
        <v>ARO-1-1-105-0041047</v>
      </c>
      <c r="C51" s="14" t="n">
        <f aca="false">'Price List'!E47</f>
        <v>1399</v>
      </c>
      <c r="D51" s="14" t="n">
        <f aca="false">'Price List'!F47</f>
        <v>1861</v>
      </c>
      <c r="E51" s="15" t="n">
        <f aca="false">IFERROR(D51/C51,"")</f>
        <v>1.33023588277341</v>
      </c>
      <c r="F51" s="11" t="str">
        <f aca="false">IF(E51="","CHECK",IF(AND(E51&gt;=1.3,E51&lt;=1.35),"OK","CHECK"))</f>
        <v>OK</v>
      </c>
      <c r="G51" s="11" t="str">
        <f aca="false">IF(ISNUMBER('Price List'!G47),IF('Price List'!G47&gt;'Price List'!F47,"OK","CHECK"),"n/a")</f>
        <v>n/a</v>
      </c>
      <c r="H51" s="11" t="n">
        <f aca="false">LEN('Price List'!C47)-LEN(SUBSTITUTE('Price List'!C47,",",""))+IF(RIGHT('Price List'!C47,1)=",",0,1)</f>
        <v>4</v>
      </c>
    </row>
    <row r="52" customFormat="false" ht="15" hidden="false" customHeight="false" outlineLevel="0" collapsed="false">
      <c r="A52" s="11" t="s">
        <v>33</v>
      </c>
      <c r="B52" s="11" t="str">
        <f aca="false">'Price List'!B48</f>
        <v>ARO-1-1-105-0041050</v>
      </c>
      <c r="C52" s="14" t="n">
        <f aca="false">'Price List'!E48</f>
        <v>1399</v>
      </c>
      <c r="D52" s="14" t="n">
        <f aca="false">'Price List'!F48</f>
        <v>1861</v>
      </c>
      <c r="E52" s="15" t="n">
        <f aca="false">IFERROR(D52/C52,"")</f>
        <v>1.33023588277341</v>
      </c>
      <c r="F52" s="11" t="str">
        <f aca="false">IF(E52="","CHECK",IF(AND(E52&gt;=1.3,E52&lt;=1.35),"OK","CHECK"))</f>
        <v>OK</v>
      </c>
      <c r="G52" s="11" t="str">
        <f aca="false">IF(ISNUMBER('Price List'!G48),IF('Price List'!G48&gt;'Price List'!F48,"OK","CHECK"),"n/a")</f>
        <v>n/a</v>
      </c>
      <c r="H52" s="11" t="n">
        <f aca="false">LEN('Price List'!C48)-LEN(SUBSTITUTE('Price List'!C48,",",""))+IF(RIGHT('Price List'!C48,1)=",",0,1)</f>
        <v>4</v>
      </c>
    </row>
    <row r="53" customFormat="false" ht="15" hidden="false" customHeight="false" outlineLevel="0" collapsed="false">
      <c r="A53" s="11" t="s">
        <v>33</v>
      </c>
      <c r="B53" s="11" t="str">
        <f aca="false">'Price List'!B49</f>
        <v>ARO-1-1-105-0041053</v>
      </c>
      <c r="C53" s="14" t="n">
        <f aca="false">'Price List'!E49</f>
        <v>1399</v>
      </c>
      <c r="D53" s="14" t="n">
        <f aca="false">'Price List'!F49</f>
        <v>1861</v>
      </c>
      <c r="E53" s="15" t="n">
        <f aca="false">IFERROR(D53/C53,"")</f>
        <v>1.33023588277341</v>
      </c>
      <c r="F53" s="11" t="str">
        <f aca="false">IF(E53="","CHECK",IF(AND(E53&gt;=1.3,E53&lt;=1.35),"OK","CHECK"))</f>
        <v>OK</v>
      </c>
      <c r="G53" s="11" t="str">
        <f aca="false">IF(ISNUMBER('Price List'!G49),IF('Price List'!G49&gt;'Price List'!F49,"OK","CHECK"),"n/a")</f>
        <v>n/a</v>
      </c>
      <c r="H53" s="11" t="n">
        <f aca="false">LEN('Price List'!C49)-LEN(SUBSTITUTE('Price List'!C49,",",""))+IF(RIGHT('Price List'!C49,1)=",",0,1)</f>
        <v>2</v>
      </c>
    </row>
    <row r="54" customFormat="false" ht="15" hidden="false" customHeight="false" outlineLevel="0" collapsed="false">
      <c r="A54" s="11" t="s">
        <v>33</v>
      </c>
      <c r="B54" s="11" t="str">
        <f aca="false">'Price List'!B50</f>
        <v>ARO-1-1-105-0041054</v>
      </c>
      <c r="C54" s="14" t="n">
        <f aca="false">'Price List'!E50</f>
        <v>1399</v>
      </c>
      <c r="D54" s="14" t="n">
        <f aca="false">'Price List'!F50</f>
        <v>1861</v>
      </c>
      <c r="E54" s="15" t="n">
        <f aca="false">IFERROR(D54/C54,"")</f>
        <v>1.33023588277341</v>
      </c>
      <c r="F54" s="11" t="str">
        <f aca="false">IF(E54="","CHECK",IF(AND(E54&gt;=1.3,E54&lt;=1.35),"OK","CHECK"))</f>
        <v>OK</v>
      </c>
      <c r="G54" s="11" t="str">
        <f aca="false">IF(ISNUMBER('Price List'!G50),IF('Price List'!G50&gt;'Price List'!F50,"OK","CHECK"),"n/a")</f>
        <v>n/a</v>
      </c>
      <c r="H54" s="11" t="n">
        <f aca="false">LEN('Price List'!C50)-LEN(SUBSTITUTE('Price List'!C50,",",""))+IF(RIGHT('Price List'!C50,1)=",",0,1)</f>
        <v>4</v>
      </c>
    </row>
    <row r="55" customFormat="false" ht="15" hidden="false" customHeight="false" outlineLevel="0" collapsed="false">
      <c r="A55" s="11" t="s">
        <v>33</v>
      </c>
      <c r="B55" s="11" t="str">
        <f aca="false">'Price List'!B51</f>
        <v>ARO-1-1-105-0041058</v>
      </c>
      <c r="C55" s="14" t="n">
        <f aca="false">'Price List'!E51</f>
        <v>1399</v>
      </c>
      <c r="D55" s="14" t="n">
        <f aca="false">'Price List'!F51</f>
        <v>1861</v>
      </c>
      <c r="E55" s="15" t="n">
        <f aca="false">IFERROR(D55/C55,"")</f>
        <v>1.33023588277341</v>
      </c>
      <c r="F55" s="11" t="str">
        <f aca="false">IF(E55="","CHECK",IF(AND(E55&gt;=1.3,E55&lt;=1.35),"OK","CHECK"))</f>
        <v>OK</v>
      </c>
      <c r="G55" s="11" t="str">
        <f aca="false">IF(ISNUMBER('Price List'!G51),IF('Price List'!G51&gt;'Price List'!F51,"OK","CHECK"),"n/a")</f>
        <v>n/a</v>
      </c>
      <c r="H55" s="11" t="n">
        <f aca="false">LEN('Price List'!C51)-LEN(SUBSTITUTE('Price List'!C51,",",""))+IF(RIGHT('Price List'!C51,1)=",",0,1)</f>
        <v>4</v>
      </c>
    </row>
    <row r="56" customFormat="false" ht="15" hidden="false" customHeight="false" outlineLevel="0" collapsed="false">
      <c r="A56" s="11" t="s">
        <v>33</v>
      </c>
      <c r="B56" s="11" t="str">
        <f aca="false">'Price List'!B52</f>
        <v>ARO-1-1-105-0041060</v>
      </c>
      <c r="C56" s="14" t="n">
        <f aca="false">'Price List'!E52</f>
        <v>1399</v>
      </c>
      <c r="D56" s="14" t="n">
        <f aca="false">'Price List'!F52</f>
        <v>1861</v>
      </c>
      <c r="E56" s="15" t="n">
        <f aca="false">IFERROR(D56/C56,"")</f>
        <v>1.33023588277341</v>
      </c>
      <c r="F56" s="11" t="str">
        <f aca="false">IF(E56="","CHECK",IF(AND(E56&gt;=1.3,E56&lt;=1.35),"OK","CHECK"))</f>
        <v>OK</v>
      </c>
      <c r="G56" s="11" t="str">
        <f aca="false">IF(ISNUMBER('Price List'!G52),IF('Price List'!G52&gt;'Price List'!F52,"OK","CHECK"),"n/a")</f>
        <v>n/a</v>
      </c>
      <c r="H56" s="11" t="n">
        <f aca="false">LEN('Price List'!C52)-LEN(SUBSTITUTE('Price List'!C52,",",""))+IF(RIGHT('Price List'!C52,1)=",",0,1)</f>
        <v>6</v>
      </c>
    </row>
    <row r="57" customFormat="false" ht="15" hidden="false" customHeight="false" outlineLevel="0" collapsed="false">
      <c r="A57" s="11" t="s">
        <v>33</v>
      </c>
      <c r="B57" s="11" t="str">
        <f aca="false">'Price List'!B53</f>
        <v>ARO-1-1-105-0041061</v>
      </c>
      <c r="C57" s="14" t="n">
        <f aca="false">'Price List'!E53</f>
        <v>1399</v>
      </c>
      <c r="D57" s="14" t="n">
        <f aca="false">'Price List'!F53</f>
        <v>1861</v>
      </c>
      <c r="E57" s="15" t="n">
        <f aca="false">IFERROR(D57/C57,"")</f>
        <v>1.33023588277341</v>
      </c>
      <c r="F57" s="11" t="str">
        <f aca="false">IF(E57="","CHECK",IF(AND(E57&gt;=1.3,E57&lt;=1.35),"OK","CHECK"))</f>
        <v>OK</v>
      </c>
      <c r="G57" s="11" t="str">
        <f aca="false">IF(ISNUMBER('Price List'!G53),IF('Price List'!G53&gt;'Price List'!F53,"OK","CHECK"),"n/a")</f>
        <v>n/a</v>
      </c>
      <c r="H57" s="11" t="n">
        <f aca="false">LEN('Price List'!C53)-LEN(SUBSTITUTE('Price List'!C53,",",""))+IF(RIGHT('Price List'!C53,1)=",",0,1)</f>
        <v>6</v>
      </c>
    </row>
    <row r="58" customFormat="false" ht="15" hidden="false" customHeight="false" outlineLevel="0" collapsed="false">
      <c r="A58" s="11" t="s">
        <v>33</v>
      </c>
      <c r="B58" s="11" t="str">
        <f aca="false">'Price List'!B54</f>
        <v>ARO-1-1-105-0041062</v>
      </c>
      <c r="C58" s="14" t="n">
        <f aca="false">'Price List'!E54</f>
        <v>1399</v>
      </c>
      <c r="D58" s="14" t="n">
        <f aca="false">'Price List'!F54</f>
        <v>1861</v>
      </c>
      <c r="E58" s="15" t="n">
        <f aca="false">IFERROR(D58/C58,"")</f>
        <v>1.33023588277341</v>
      </c>
      <c r="F58" s="11" t="str">
        <f aca="false">IF(E58="","CHECK",IF(AND(E58&gt;=1.3,E58&lt;=1.35),"OK","CHECK"))</f>
        <v>OK</v>
      </c>
      <c r="G58" s="11" t="str">
        <f aca="false">IF(ISNUMBER('Price List'!G54),IF('Price List'!G54&gt;'Price List'!F54,"OK","CHECK"),"n/a")</f>
        <v>n/a</v>
      </c>
      <c r="H58" s="11" t="n">
        <f aca="false">LEN('Price List'!C54)-LEN(SUBSTITUTE('Price List'!C54,",",""))+IF(RIGHT('Price List'!C54,1)=",",0,1)</f>
        <v>2</v>
      </c>
    </row>
    <row r="59" customFormat="false" ht="15" hidden="false" customHeight="false" outlineLevel="0" collapsed="false">
      <c r="A59" s="11" t="s">
        <v>33</v>
      </c>
      <c r="B59" s="11" t="str">
        <f aca="false">'Price List'!B55</f>
        <v>ARO-1-1-105-0041063</v>
      </c>
      <c r="C59" s="14" t="n">
        <f aca="false">'Price List'!E55</f>
        <v>1399</v>
      </c>
      <c r="D59" s="14" t="n">
        <f aca="false">'Price List'!F55</f>
        <v>1861</v>
      </c>
      <c r="E59" s="15" t="n">
        <f aca="false">IFERROR(D59/C59,"")</f>
        <v>1.33023588277341</v>
      </c>
      <c r="F59" s="11" t="str">
        <f aca="false">IF(E59="","CHECK",IF(AND(E59&gt;=1.3,E59&lt;=1.35),"OK","CHECK"))</f>
        <v>OK</v>
      </c>
      <c r="G59" s="11" t="str">
        <f aca="false">IF(ISNUMBER('Price List'!G55),IF('Price List'!G55&gt;'Price List'!F55,"OK","CHECK"),"n/a")</f>
        <v>n/a</v>
      </c>
      <c r="H59" s="11" t="n">
        <f aca="false">LEN('Price List'!C55)-LEN(SUBSTITUTE('Price List'!C55,",",""))+IF(RIGHT('Price List'!C55,1)=",",0,1)</f>
        <v>2</v>
      </c>
    </row>
    <row r="60" customFormat="false" ht="15" hidden="false" customHeight="false" outlineLevel="0" collapsed="false">
      <c r="A60" s="11" t="s">
        <v>33</v>
      </c>
      <c r="B60" s="11" t="str">
        <f aca="false">'Price List'!B56</f>
        <v>ARO-1-1-105-0041064</v>
      </c>
      <c r="C60" s="14" t="n">
        <f aca="false">'Price List'!E56</f>
        <v>1399</v>
      </c>
      <c r="D60" s="14" t="n">
        <f aca="false">'Price List'!F56</f>
        <v>1861</v>
      </c>
      <c r="E60" s="15" t="n">
        <f aca="false">IFERROR(D60/C60,"")</f>
        <v>1.33023588277341</v>
      </c>
      <c r="F60" s="11" t="str">
        <f aca="false">IF(E60="","CHECK",IF(AND(E60&gt;=1.3,E60&lt;=1.35),"OK","CHECK"))</f>
        <v>OK</v>
      </c>
      <c r="G60" s="11" t="str">
        <f aca="false">IF(ISNUMBER('Price List'!G56),IF('Price List'!G56&gt;'Price List'!F56,"OK","CHECK"),"n/a")</f>
        <v>n/a</v>
      </c>
      <c r="H60" s="11" t="n">
        <f aca="false">LEN('Price List'!C56)-LEN(SUBSTITUTE('Price List'!C56,",",""))+IF(RIGHT('Price List'!C56,1)=",",0,1)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6" t="s">
        <v>109</v>
      </c>
    </row>
    <row r="2" customFormat="false" ht="15" hidden="false" customHeight="false" outlineLevel="0" collapsed="false">
      <c r="A2" s="17" t="s">
        <v>110</v>
      </c>
    </row>
    <row r="3" customFormat="false" ht="15" hidden="false" customHeight="false" outlineLevel="0" collapsed="false">
      <c r="A3" s="17" t="s">
        <v>111</v>
      </c>
    </row>
    <row r="4" customFormat="false" ht="23.85" hidden="false" customHeight="false" outlineLevel="0" collapsed="false">
      <c r="A4" s="17" t="s">
        <v>112</v>
      </c>
    </row>
    <row r="5" customFormat="false" ht="15" hidden="false" customHeight="false" outlineLevel="0" collapsed="false">
      <c r="A5" s="18" t="s">
        <v>113</v>
      </c>
    </row>
    <row r="6" customFormat="false" ht="15" hidden="false" customHeight="false" outlineLevel="0" collapsed="false">
      <c r="A6" s="18" t="s">
        <v>114</v>
      </c>
    </row>
    <row r="7" customFormat="false" ht="15" hidden="false" customHeight="false" outlineLevel="0" collapsed="false">
      <c r="A7" s="17" t="s">
        <v>115</v>
      </c>
    </row>
    <row r="8" customFormat="false" ht="23.85" hidden="false" customHeight="false" outlineLevel="0" collapsed="false">
      <c r="A8" s="17" t="s">
        <v>116</v>
      </c>
    </row>
    <row r="9" customFormat="false" ht="15" hidden="false" customHeight="false" outlineLevel="0" collapsed="false">
      <c r="A9" s="17" t="s">
        <v>117</v>
      </c>
    </row>
    <row r="10" customFormat="false" ht="15" hidden="false" customHeight="false" outlineLevel="0" collapsed="false">
      <c r="A10" s="17" t="s">
        <v>118</v>
      </c>
    </row>
    <row r="11" customFormat="false" ht="15" hidden="false" customHeight="false" outlineLevel="0" collapsed="false">
      <c r="A11" s="17" t="s">
        <v>119</v>
      </c>
    </row>
    <row r="12" customFormat="false" ht="15" hidden="false" customHeight="false" outlineLevel="0" collapsed="false">
      <c r="A12" s="17" t="s">
        <v>120</v>
      </c>
    </row>
    <row r="13" customFormat="false" ht="23.85" hidden="false" customHeight="false" outlineLevel="0" collapsed="false">
      <c r="A13" s="1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2026-10-15T05:18:00Z</dcterms:created>
  <dc:creator>openpyxl</dc:creator>
  <dc:description/>
  <dc:language>en-US</dc:language>
  <cp:lastModifiedBy/>
  <dcterms:modified xsi:type="dcterms:W3CDTF">2026-10-15T05:18:00Z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