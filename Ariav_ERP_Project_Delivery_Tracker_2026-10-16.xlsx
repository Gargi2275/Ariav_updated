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Dashboard" sheetId="1" state="visible" r:id="rId1"/>
    <sheet name="Module Inventory" sheetId="2" state="visible" r:id="rId2"/>
    <sheet name="Task Tracker" sheetId="3" state="visible" r:id="rId3"/>
    <sheet name="Bug Tracker" sheetId="4" state="visible" r:id="rId4"/>
    <sheet name="Testing &amp; QA" sheetId="5" state="visible" r:id="rId5"/>
    <sheet name="Release Blockers &amp; Risks" sheetId="6" state="visible" r:id="rId6"/>
    <sheet name="Today's Delivery Plan" sheetId="7" state="visible" r:id="rId7"/>
    <sheet name="Release Checklist" sheetId="8" state="visible" r:id="rId8"/>
    <sheet name="Audit Evidence &amp; Commands" sheetId="9" state="visible" r:id="rId9"/>
    <sheet name="Instructions" sheetId="10" state="visible" r:id="rId10"/>
    <sheet name="Lists" sheetId="11" state="hidden" r:id="rId11"/>
  </sheets>
  <definedNames>
    <definedName name="_xlnm.Print_Titles" localSheetId="0">'Executive Dashboard'!$1:$2</definedName>
    <definedName name="_xlnm._FilterDatabase" localSheetId="1" hidden="1">'Module Inventory'!$A$1:$V$24</definedName>
    <definedName name="_xlnm.Print_Titles" localSheetId="1">'Module Inventory'!$1:$1</definedName>
    <definedName name="_xlnm._FilterDatabase" localSheetId="2" hidden="1">'Task Tracker'!$A$1:$R$19</definedName>
    <definedName name="_xlnm.Print_Titles" localSheetId="2">'Task Tracker'!$1:$1</definedName>
    <definedName name="_xlnm._FilterDatabase" localSheetId="3" hidden="1">'Bug Tracker'!$A$1:$T$9</definedName>
    <definedName name="_xlnm.Print_Titles" localSheetId="3">'Bug Tracker'!$1:$1</definedName>
    <definedName name="_xlnm._FilterDatabase" localSheetId="4" hidden="1">'Testing &amp; QA'!$A$1:$M$21</definedName>
    <definedName name="_xlnm.Print_Titles" localSheetId="4">'Testing &amp; QA'!$1:$1</definedName>
    <definedName name="_xlnm._FilterDatabase" localSheetId="5" hidden="1">'Release Blockers &amp; Risks'!$A$1:$P$16</definedName>
    <definedName name="_xlnm.Print_Titles" localSheetId="5">'Release Blockers &amp; Risks'!$1:$1</definedName>
    <definedName name="_xlnm._FilterDatabase" localSheetId="6" hidden="1">'Today''s Delivery Plan'!$A$1:$O$13</definedName>
    <definedName name="_xlnm.Print_Titles" localSheetId="6">'Today''s Delivery Plan'!$1:$1</definedName>
    <definedName name="_xlnm._FilterDatabase" localSheetId="7" hidden="1">'Release Checklist'!$A$1:$H$21</definedName>
    <definedName name="_xlnm.Print_Titles" localSheetId="7">'Release Checklist'!$1:$1</definedName>
    <definedName name="_xlnm._FilterDatabase" localSheetId="8" hidden="1">'Audit Evidence &amp; Commands'!$A$1:$J$14</definedName>
    <definedName name="_xlnm.Print_Titles" localSheetId="8">'Audit Evidence &amp; Commands'!$1:$1</definedName>
  </definedNames>
  <calcPr calcId="124519" fullCalcOnLoad="1"/>
</workbook>
</file>

<file path=xl/styles.xml><?xml version="1.0" encoding="utf-8"?>
<styleSheet xmlns="http://schemas.openxmlformats.org/spreadsheetml/2006/main">
  <numFmts count="2">
    <numFmt numFmtId="164" formatCode="0.0%"/>
    <numFmt numFmtId="165" formatCode="DD MMM YYYY"/>
  </numFmts>
  <fonts count="16">
    <font>
      <name val="Calibri"/>
      <family val="2"/>
      <color theme="1"/>
      <sz val="11"/>
      <scheme val="minor"/>
    </font>
    <font>
      <name val="Calibri"/>
      <b val="1"/>
      <color rgb="00FFFFFF"/>
      <sz val="11"/>
    </font>
    <font>
      <name val="Calibri"/>
      <color rgb="001F2933"/>
      <sz val="10"/>
    </font>
    <font>
      <name val="Calibri"/>
      <b val="1"/>
      <color rgb="001B3A4B"/>
      <sz val="14"/>
    </font>
    <font>
      <name val="Calibri"/>
      <b val="1"/>
      <color rgb="001B3A4B"/>
    </font>
    <font>
      <name val="Calibri"/>
      <b val="1"/>
      <color rgb="001B3A4B"/>
      <sz val="20"/>
    </font>
    <font>
      <name val="Calibri"/>
      <color rgb="005C6770"/>
      <sz val="11"/>
    </font>
    <font>
      <name val="Calibri"/>
      <b val="1"/>
      <color rgb="005C6770"/>
      <sz val="9"/>
    </font>
    <font>
      <name val="Calibri"/>
      <b val="1"/>
      <color rgb="009B2C2C"/>
      <sz val="28"/>
    </font>
    <font>
      <name val="Calibri"/>
      <color rgb="001F2933"/>
      <sz val="9"/>
    </font>
    <font>
      <name val="Calibri"/>
      <b val="1"/>
      <color rgb="001F2933"/>
      <sz val="18"/>
    </font>
    <font>
      <name val="Calibri"/>
      <b val="1"/>
      <color rgb="001B3A4B"/>
      <sz val="28"/>
    </font>
    <font>
      <name val="Calibri"/>
      <b val="1"/>
      <color rgb="001B3A4B"/>
      <sz val="22"/>
    </font>
    <font>
      <name val="Calibri"/>
      <color rgb="005C6770"/>
      <sz val="9"/>
    </font>
    <font>
      <name val="Calibri"/>
      <b val="1"/>
      <color rgb="00FFFFFF"/>
    </font>
    <font>
      <name val="Calibri"/>
      <b val="1"/>
      <color rgb="001B3A4B"/>
      <sz val="9"/>
    </font>
  </fonts>
  <fills count="6">
    <fill>
      <patternFill/>
    </fill>
    <fill>
      <patternFill patternType="gray125"/>
    </fill>
    <fill>
      <patternFill patternType="solid">
        <fgColor rgb="001B3A4B"/>
      </patternFill>
    </fill>
    <fill>
      <patternFill patternType="solid">
        <fgColor rgb="00F4F7F8"/>
      </patternFill>
    </fill>
    <fill>
      <patternFill patternType="solid">
        <fgColor rgb="00FFFDF6"/>
      </patternFill>
    </fill>
    <fill>
      <patternFill patternType="solid">
        <fgColor rgb="00FDECEC"/>
      </patternFill>
    </fill>
  </fills>
  <borders count="2">
    <border>
      <left/>
      <right/>
      <top/>
      <bottom/>
      <diagonal/>
    </border>
    <border>
      <left style="thin">
        <color rgb="00D5DDE2"/>
      </left>
      <right style="thin">
        <color rgb="00D5DDE2"/>
      </right>
      <top style="thin">
        <color rgb="00D5DDE2"/>
      </top>
      <bottom style="thin">
        <color rgb="00D5DDE2"/>
      </bottom>
    </border>
  </borders>
  <cellStyleXfs count="1">
    <xf numFmtId="0" fontId="0" fillId="0" borderId="0"/>
  </cellStyleXfs>
  <cellXfs count="28">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5" borderId="0" applyAlignment="1" pivotButton="0" quotePrefix="0" xfId="0">
      <alignment vertical="center"/>
    </xf>
    <xf numFmtId="0" fontId="9" fillId="0" borderId="0" applyAlignment="1" pivotButton="0" quotePrefix="0" xfId="0">
      <alignment vertical="top" wrapText="1"/>
    </xf>
    <xf numFmtId="0" fontId="10" fillId="3" borderId="0" applyAlignment="1" pivotButton="0" quotePrefix="0" xfId="0">
      <alignment horizontal="left" vertical="center"/>
    </xf>
    <xf numFmtId="164" fontId="11" fillId="0" borderId="0" pivotButton="0" quotePrefix="0" xfId="0"/>
    <xf numFmtId="0" fontId="0" fillId="0" borderId="0" applyAlignment="1" pivotButton="0" quotePrefix="0" xfId="0">
      <alignment vertical="top" wrapText="1"/>
    </xf>
    <xf numFmtId="164" fontId="12" fillId="0" borderId="0" pivotButton="0" quotePrefix="0" xfId="0"/>
    <xf numFmtId="0" fontId="13" fillId="0" borderId="0"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9" fontId="2" fillId="3"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xf numFmtId="165" fontId="2" fillId="3" borderId="1" applyAlignment="1" pivotButton="0" quotePrefix="0" xfId="0">
      <alignment vertical="top" wrapText="1"/>
    </xf>
    <xf numFmtId="165" fontId="2" fillId="0" borderId="1" applyAlignment="1" pivotButton="0" quotePrefix="0" xfId="0">
      <alignment vertical="top" wrapText="1"/>
    </xf>
    <xf numFmtId="0" fontId="4" fillId="0" borderId="0" pivotButton="0" quotePrefix="0" xfId="0"/>
    <xf numFmtId="0" fontId="0" fillId="4" borderId="0" pivotButton="0" quotePrefix="0" xfId="0"/>
    <xf numFmtId="164" fontId="11" fillId="0" borderId="0" pivotButton="0" quotePrefix="0" xfId="0"/>
    <xf numFmtId="164" fontId="12" fillId="0" borderId="0" pivotButton="0" quotePrefix="0" xfId="0"/>
    <xf numFmtId="0" fontId="15" fillId="0" borderId="0" pivotButton="0" quotePrefix="0" xfId="0"/>
    <xf numFmtId="164" fontId="0" fillId="0" borderId="0" pivotButton="0" quotePrefix="0" xfId="0"/>
    <xf numFmtId="0" fontId="3" fillId="0" borderId="0" applyAlignment="1" pivotButton="0" quotePrefix="0" xfId="0">
      <alignment vertical="top" wrapText="1"/>
    </xf>
    <xf numFmtId="0" fontId="14" fillId="2" borderId="0" pivotButton="0" quotePrefix="0" xfId="0"/>
  </cellXfs>
  <cellStyles count="1">
    <cellStyle name="Normal" xfId="0" builtinId="0" hidden="0"/>
  </cellStyles>
  <dxfs count="6">
    <dxf>
      <font>
        <name val="Calibri"/>
        <b val="1"/>
        <color rgb="001F7A4D"/>
        <sz val="10"/>
      </font>
      <fill>
        <patternFill patternType="solid">
          <fgColor rgb="00E5F4EC"/>
        </patternFill>
      </fill>
    </dxf>
    <dxf>
      <font>
        <name val="Calibri"/>
        <b val="1"/>
        <color rgb="008A5A00"/>
        <sz val="10"/>
      </font>
      <fill>
        <patternFill patternType="solid">
          <fgColor rgb="00FFF4D6"/>
        </patternFill>
      </fill>
    </dxf>
    <dxf>
      <font>
        <name val="Calibri"/>
        <b val="1"/>
        <color rgb="009B2C2C"/>
        <sz val="10"/>
      </font>
      <fill>
        <patternFill patternType="solid">
          <fgColor rgb="00FDECEC"/>
        </patternFill>
      </fill>
    </dxf>
    <dxf>
      <font>
        <name val="Calibri"/>
        <b val="1"/>
        <color rgb="009A4D12"/>
        <sz val="10"/>
      </font>
      <fill>
        <patternFill patternType="solid">
          <fgColor rgb="00F8E6D8"/>
        </patternFill>
      </fill>
    </dxf>
    <dxf>
      <font>
        <name val="Calibri"/>
        <b val="1"/>
        <color rgb="005C6770"/>
        <sz val="10"/>
      </font>
      <fill>
        <patternFill patternType="solid">
          <fgColor rgb="00EEF1F3"/>
        </patternFill>
      </fill>
    </dxf>
    <dxf>
      <font>
        <name val="Calibri"/>
        <b val="1"/>
        <color rgb="001B3A4B"/>
        <sz val="10"/>
      </font>
      <fill>
        <patternFill patternType="solid">
          <fgColor rgb="00E7EE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Module status</a:t>
            </a:r>
          </a:p>
        </rich>
      </tx>
    </title>
    <plotArea>
      <barChart>
        <barDir val="col"/>
        <grouping val="clustered"/>
        <ser>
          <idx val="0"/>
          <order val="0"/>
          <tx>
            <strRef>
              <f>'Executive Dashboard'!B32</f>
            </strRef>
          </tx>
          <spPr>
            <a:ln>
              <a:prstDash val="solid"/>
            </a:ln>
          </spPr>
          <cat>
            <numRef>
              <f>'Executive Dashboard'!$A$33:$A$37</f>
            </numRef>
          </cat>
          <val>
            <numRef>
              <f>'Executive Dashboard'!$B$33:$B$37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Task completion</a:t>
            </a:r>
          </a:p>
        </rich>
      </tx>
    </title>
    <plotArea>
      <barChart>
        <barDir val="col"/>
        <grouping val="clustered"/>
        <ser>
          <idx val="0"/>
          <order val="0"/>
          <tx>
            <strRef>
              <f>'Executive Dashboard'!E32</f>
            </strRef>
          </tx>
          <spPr>
            <a:ln>
              <a:prstDash val="solid"/>
            </a:ln>
          </spPr>
          <cat>
            <numRef>
              <f>'Executive Dashboard'!$D$33:$D$34</f>
            </numRef>
          </cat>
          <val>
            <numRef>
              <f>'Executive Dashboard'!$E$33:$E$34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Bug severity</a:t>
            </a:r>
          </a:p>
        </rich>
      </tx>
    </title>
    <plotArea>
      <barChart>
        <barDir val="col"/>
        <grouping val="clustered"/>
        <ser>
          <idx val="0"/>
          <order val="0"/>
          <tx>
            <strRef>
              <f>'Executive Dashboard'!H32</f>
            </strRef>
          </tx>
          <spPr>
            <a:ln>
              <a:prstDash val="solid"/>
            </a:ln>
          </spPr>
          <cat>
            <numRef>
              <f>'Executive Dashboard'!$G$33:$G$36</f>
            </numRef>
          </cat>
          <val>
            <numRef>
              <f>'Executive Dashboard'!$H$33:$H$36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Bug status</a:t>
            </a:r>
          </a:p>
        </rich>
      </tx>
    </title>
    <plotArea>
      <barChart>
        <barDir val="col"/>
        <grouping val="clustered"/>
        <ser>
          <idx val="0"/>
          <order val="0"/>
          <tx>
            <strRef>
              <f>'Executive Dashboard'!K32</f>
            </strRef>
          </tx>
          <spPr>
            <a:ln>
              <a:prstDash val="solid"/>
            </a:ln>
          </spPr>
          <cat>
            <numRef>
              <f>'Executive Dashboard'!$J$33:$J$36</f>
            </numRef>
          </cat>
          <val>
            <numRef>
              <f>'Executive Dashboard'!$K$33:$K$36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Testing results</a:t>
            </a:r>
          </a:p>
        </rich>
      </tx>
    </title>
    <plotArea>
      <barChart>
        <barDir val="col"/>
        <grouping val="clustered"/>
        <ser>
          <idx val="0"/>
          <order val="0"/>
          <tx>
            <strRef>
              <f>'Executive Dashboard'!B40</f>
            </strRef>
          </tx>
          <spPr>
            <a:ln>
              <a:prstDash val="solid"/>
            </a:ln>
          </spPr>
          <cat>
            <numRef>
              <f>'Executive Dashboard'!$A$41:$A$44</f>
            </numRef>
          </cat>
          <val>
            <numRef>
              <f>'Executive Dashboard'!$B$41:$B$44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Open tasks by module</a:t>
            </a:r>
          </a:p>
        </rich>
      </tx>
    </title>
    <plotArea>
      <barChart>
        <barDir val="col"/>
        <grouping val="clustered"/>
        <ser>
          <idx val="0"/>
          <order val="0"/>
          <tx>
            <strRef>
              <f>'Executive Dashboard'!E40</f>
            </strRef>
          </tx>
          <spPr>
            <a:ln>
              <a:prstDash val="solid"/>
            </a:ln>
          </spPr>
          <cat>
            <numRef>
              <f>'Executive Dashboard'!$D$41:$D$63</f>
            </numRef>
          </cat>
          <val>
            <numRef>
              <f>'Executive Dashboard'!$E$41:$E$63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65</row>
      <rowOff>0</rowOff>
    </from>
    <ext cx="4320000" cy="21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65</row>
      <rowOff>0</rowOff>
    </from>
    <ext cx="2880000" cy="2160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65</row>
      <rowOff>0</rowOff>
    </from>
    <ext cx="4320000" cy="216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81</row>
      <rowOff>0</rowOff>
    </from>
    <ext cx="4320000" cy="216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81</row>
      <rowOff>0</rowOff>
    </from>
    <ext cx="4320000" cy="21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97</row>
      <rowOff>0</rowOff>
    </from>
    <ext cx="6480000" cy="2160000"/>
    <graphicFrame>
      <nvGraphicFramePr>
        <cNvPr id="6" name="Chart 6"/>
        <cNvGraphicFramePr/>
      </nvGraphicFramePr>
      <xfrm/>
      <a:graphic>
        <a:graphicData uri="http://schemas.openxmlformats.org/drawingml/2006/chart">
          <c:chart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P118"/>
  <sheetViews>
    <sheetView showGridLines="0" zoomScale="110"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2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28" customHeight="1">
      <c r="A1" s="1" t="inlineStr">
        <is>
          <t>Ariav ERP  —  delivery tracker</t>
        </is>
      </c>
    </row>
    <row r="2" ht="20" customHeight="1">
      <c r="A2" s="2" t="inlineStr">
        <is>
          <t>Audit date 16 October 2026. Branch fix/rename-repair, commit c326fdf, working tree not clean. Local checks only. Not a production deployment.</t>
        </is>
      </c>
    </row>
    <row r="4">
      <c r="A4" s="3" t="inlineStr">
        <is>
          <t>RELEASE DECISION</t>
        </is>
      </c>
    </row>
    <row r="5" ht="24" customHeight="1">
      <c r="A5" s="4">
        <f>IF(OR(M13&gt;0,I16&gt;0,'Release Checklist'!B23&gt;0),"Not Ready","Ready for Release")</f>
        <v/>
      </c>
    </row>
    <row r="6" ht="24" customHeight="1"/>
    <row r="7" ht="32" customHeight="1">
      <c r="A7" s="5" t="inlineStr">
        <is>
          <t>Not Ready if a critical bug is still open, a test has failed, or a mandatory checklist item is not Passed. The build passing does not change this.</t>
        </is>
      </c>
    </row>
    <row r="9">
      <c r="E9" s="3" t="inlineStr">
        <is>
          <t>MODULES</t>
        </is>
      </c>
      <c r="G9" s="3" t="inlineStr">
        <is>
          <t>COMPLETED</t>
        </is>
      </c>
      <c r="I9" s="3" t="inlineStr">
        <is>
          <t>IN PROGRESS</t>
        </is>
      </c>
      <c r="K9" s="3" t="inlineStr">
        <is>
          <t>PENDING</t>
        </is>
      </c>
      <c r="M9" s="3" t="inlineStr">
        <is>
          <t>BLOCKED</t>
        </is>
      </c>
      <c r="O9" s="3" t="inlineStr">
        <is>
          <t>NOT VERIFIED</t>
        </is>
      </c>
    </row>
    <row r="10" ht="26" customHeight="1">
      <c r="E10" s="6">
        <f>COUNTA('Module Inventory'!A2:A24)</f>
        <v/>
      </c>
      <c r="G10" s="6">
        <f>COUNTIF('Module Inventory'!I2:I24,"Completed")</f>
        <v/>
      </c>
      <c r="I10" s="6">
        <f>COUNTIF('Module Inventory'!I2:I24,"In Progress")</f>
        <v/>
      </c>
      <c r="K10" s="6">
        <f>COUNTIF('Module Inventory'!I2:I24,"Pending")</f>
        <v/>
      </c>
      <c r="M10" s="6">
        <f>COUNTIF('Module Inventory'!I2:I24,"Blocked")</f>
        <v/>
      </c>
      <c r="O10" s="6">
        <f>COUNTIF('Module Inventory'!I2:I24,"Not Verified")</f>
        <v/>
      </c>
    </row>
    <row r="12">
      <c r="E12" s="3" t="inlineStr">
        <is>
          <t>TASKS</t>
        </is>
      </c>
      <c r="G12" s="3" t="inlineStr">
        <is>
          <t>TASKS DONE</t>
        </is>
      </c>
      <c r="I12" s="3" t="inlineStr">
        <is>
          <t>TASKS OPEN</t>
        </is>
      </c>
      <c r="K12" s="3" t="inlineStr">
        <is>
          <t>OPEN BUGS</t>
        </is>
      </c>
      <c r="M12" s="3" t="inlineStr">
        <is>
          <t>CRITICAL OPEN</t>
        </is>
      </c>
      <c r="O12" s="3" t="inlineStr">
        <is>
          <t>HIGH OPEN</t>
        </is>
      </c>
    </row>
    <row r="13" ht="26" customHeight="1">
      <c r="E13" s="6">
        <f>COUNTA('Task Tracker'!A2:A19)</f>
        <v/>
      </c>
      <c r="G13" s="6">
        <f>COUNTIF('Task Tracker'!H2:H19,"Completed")</f>
        <v/>
      </c>
      <c r="I13" s="6">
        <f>E13-G13</f>
        <v/>
      </c>
      <c r="K13" s="6">
        <f>COUNTIF('Bug Tracker'!J2:J9,"Open")+COUNTIF('Bug Tracker'!J2:J9,"In Progress")+COUNTIF('Bug Tracker'!J2:J9,"Reopened")+COUNTIF('Bug Tracker'!J2:J9,"Blocked")</f>
        <v/>
      </c>
      <c r="M13" s="6">
        <f>COUNTIFS('Bug Tracker'!H2:H9,"Critical",'Bug Tracker'!J2:J9,"Open")+COUNTIFS('Bug Tracker'!H2:H9,"Critical",'Bug Tracker'!J2:J9,"In Progress")+COUNTIFS('Bug Tracker'!H2:H9,"Critical",'Bug Tracker'!J2:J9,"Reopened")</f>
        <v/>
      </c>
      <c r="O13" s="6">
        <f>COUNTIFS('Bug Tracker'!H2:H9,"High",'Bug Tracker'!J2:J9,"Open")+COUNTIFS('Bug Tracker'!H2:H9,"High",'Bug Tracker'!J2:J9,"In Progress")</f>
        <v/>
      </c>
    </row>
    <row r="15">
      <c r="E15" s="3" t="inlineStr">
        <is>
          <t>BUGS TO VERIFY</t>
        </is>
      </c>
      <c r="G15" s="3" t="inlineStr">
        <is>
          <t>CHECKS PASSED</t>
        </is>
      </c>
      <c r="I15" s="3" t="inlineStr">
        <is>
          <t>CHECKS FAILED</t>
        </is>
      </c>
      <c r="K15" s="3" t="inlineStr">
        <is>
          <t>CHECKS NOT RUN</t>
        </is>
      </c>
      <c r="M15" s="3" t="inlineStr">
        <is>
          <t>RELEASE BLOCKERS</t>
        </is>
      </c>
    </row>
    <row r="16" ht="26" customHeight="1">
      <c r="E16" s="6">
        <f>COUNTIF('Bug Tracker'!J2:J9,"Ready for Verification")</f>
        <v/>
      </c>
      <c r="G16" s="6">
        <f>COUNTIF('Testing &amp; QA'!H2:H21,"Passed")</f>
        <v/>
      </c>
      <c r="I16" s="6">
        <f>COUNTIF('Testing &amp; QA'!H2:H21,"Failed")</f>
        <v/>
      </c>
      <c r="K16" s="6">
        <f>COUNTIF('Testing &amp; QA'!H2:H21,"Not Run")</f>
        <v/>
      </c>
      <c r="M16" s="6">
        <f>COUNTIFS('Release Blockers &amp; Risks'!I2:I16,"Yes",'Release Blockers &amp; Risks'!N2:N16,"&lt;&gt;Closed")</f>
        <v/>
      </c>
    </row>
    <row r="19">
      <c r="A19" s="3" t="inlineStr">
        <is>
          <t>OVERALL COMPLETION (PROVISIONAL)</t>
        </is>
      </c>
    </row>
    <row r="20">
      <c r="A20" s="22">
        <f>IF(SUM('Module Inventory'!L2:L24)=0,0,SUMPRODUCT('Module Inventory'!L2:L24,'Module Inventory'!P2:P24)/SUM('Module Inventory'!L2:L24))</f>
        <v/>
      </c>
    </row>
    <row r="21">
      <c r="A21" s="8" t="inlineStr">
        <is>
          <t>Weighted by the Weight column. See Module Inventory for the 40/30/30 point rule. Placeholder screens are included because they are on the navigation.</t>
        </is>
      </c>
    </row>
    <row r="22" ht="30" customHeight="1"/>
    <row r="24">
      <c r="A24" s="3" t="inlineStr">
        <is>
          <t>TASK COMPLETION</t>
        </is>
      </c>
      <c r="E24" s="3" t="inlineStr">
        <is>
          <t>BUG RESOLUTION</t>
        </is>
      </c>
      <c r="I24" s="3" t="inlineStr">
        <is>
          <t>CHECK PASS RATE</t>
        </is>
      </c>
    </row>
    <row r="25">
      <c r="A25" s="23">
        <f>IF(E13=0,0,G13/E13)</f>
        <v/>
      </c>
      <c r="E25" s="23">
        <f>IF(COUNTA('Bug Tracker'!A2:A9)=0,0,COUNTIF('Bug Tracker'!J2:J9,"Verified")/COUNTA('Bug Tracker'!A2:A9))</f>
        <v/>
      </c>
      <c r="I25" s="23">
        <f>IF((G16+I16)=0,"No executed tests",G16/(G16+I16))</f>
        <v/>
      </c>
    </row>
    <row r="26" ht="18" customHeight="1">
      <c r="A26" s="10" t="inlineStr">
        <is>
          <t>Completed tasks divided by all tasks on the Task Tracker.</t>
        </is>
      </c>
      <c r="E26" s="10" t="inlineStr">
        <is>
          <t>Verified bugs divided by every bug row. Deferred and open bugs stay in the denominator.</t>
        </is>
      </c>
      <c r="I26" s="10" t="inlineStr">
        <is>
          <t>Passed divided by Passed + Failed on the Testing sheet. Not Run and Not Applicable are excluded from this rate and shown as their own counts.</t>
        </is>
      </c>
    </row>
    <row r="27" ht="18" customHeight="1"/>
    <row r="28">
      <c r="A28" s="24" t="inlineStr">
        <is>
          <t>DJANGO SUITE</t>
        </is>
      </c>
      <c r="C28" s="24" t="inlineStr">
        <is>
          <t>TESTS PASSED</t>
        </is>
      </c>
      <c r="E28" s="24" t="inlineStr">
        <is>
          <t>TESTS FAILED</t>
        </is>
      </c>
      <c r="G28" s="24" t="inlineStr">
        <is>
          <t>TESTS RUN</t>
        </is>
      </c>
      <c r="I28" s="24" t="inlineStr">
        <is>
          <t>SUITE PASS RATE</t>
        </is>
      </c>
    </row>
    <row r="29">
      <c r="A29" t="inlineStr">
        <is>
          <t>Executed 16 Oct 2026</t>
        </is>
      </c>
      <c r="C29">
        <f>'Audit Evidence &amp; Commands'!M2</f>
        <v/>
      </c>
      <c r="E29">
        <f>'Audit Evidence &amp; Commands'!M3</f>
        <v/>
      </c>
      <c r="G29">
        <f>'Audit Evidence &amp; Commands'!M4</f>
        <v/>
      </c>
      <c r="I29" s="25">
        <f>IF((C29+E29)=0,0,C29/(C29+E29))</f>
        <v/>
      </c>
    </row>
    <row r="30" ht="32" customHeight="1">
      <c r="A30" s="26" t="inlineStr">
        <is>
          <t>Checks passed, failed and not run count rows on Testing &amp; QA. They are audit checks, not individual test methods. The Django suite line is the only full test run: 264 methods, 66 failures, so 198 passed. Frontend component tests and deployment smoke were not run and are not included in 198.</t>
        </is>
      </c>
    </row>
    <row r="31"/>
    <row r="32">
      <c r="A32" t="inlineStr">
        <is>
          <t>Module status</t>
        </is>
      </c>
      <c r="B32" t="inlineStr">
        <is>
          <t>Count</t>
        </is>
      </c>
      <c r="D32" t="inlineStr">
        <is>
          <t>Task status</t>
        </is>
      </c>
      <c r="E32" t="inlineStr">
        <is>
          <t>Count</t>
        </is>
      </c>
      <c r="G32" t="inlineStr">
        <is>
          <t>Bug severity</t>
        </is>
      </c>
      <c r="H32" t="inlineStr">
        <is>
          <t>Count</t>
        </is>
      </c>
      <c r="J32" t="inlineStr">
        <is>
          <t>Bug status</t>
        </is>
      </c>
      <c r="K32" t="inlineStr">
        <is>
          <t>Count</t>
        </is>
      </c>
    </row>
    <row r="33">
      <c r="A33" t="inlineStr">
        <is>
          <t>Completed</t>
        </is>
      </c>
      <c r="B33">
        <f>G10</f>
        <v/>
      </c>
      <c r="D33" t="inlineStr">
        <is>
          <t>Completed</t>
        </is>
      </c>
      <c r="E33">
        <f>G13</f>
        <v/>
      </c>
      <c r="G33" t="inlineStr">
        <is>
          <t>Critical</t>
        </is>
      </c>
      <c r="H33">
        <f>COUNTIF('Bug Tracker'!H$2:H$9,G33)</f>
        <v/>
      </c>
      <c r="J33" t="inlineStr">
        <is>
          <t>Open</t>
        </is>
      </c>
      <c r="K33">
        <f>COUNTIF('Bug Tracker'!$J$2:$J$9,J33)</f>
        <v/>
      </c>
    </row>
    <row r="34">
      <c r="A34" t="inlineStr">
        <is>
          <t>In progress</t>
        </is>
      </c>
      <c r="B34">
        <f>I10</f>
        <v/>
      </c>
      <c r="D34" t="inlineStr">
        <is>
          <t>Open</t>
        </is>
      </c>
      <c r="E34">
        <f>I13</f>
        <v/>
      </c>
      <c r="G34" t="inlineStr">
        <is>
          <t>High</t>
        </is>
      </c>
      <c r="H34">
        <f>COUNTIF('Bug Tracker'!H$2:H$9,G34)</f>
        <v/>
      </c>
      <c r="J34" t="inlineStr">
        <is>
          <t>Ready for Verification</t>
        </is>
      </c>
      <c r="K34">
        <f>COUNTIF('Bug Tracker'!$J$2:$J$9,J34)</f>
        <v/>
      </c>
    </row>
    <row r="35">
      <c r="A35" t="inlineStr">
        <is>
          <t>Pending</t>
        </is>
      </c>
      <c r="B35">
        <f>K10</f>
        <v/>
      </c>
      <c r="G35" t="inlineStr">
        <is>
          <t>Medium</t>
        </is>
      </c>
      <c r="H35">
        <f>COUNTIF('Bug Tracker'!H$2:H$9,G35)</f>
        <v/>
      </c>
      <c r="J35" t="inlineStr">
        <is>
          <t>Verified</t>
        </is>
      </c>
      <c r="K35">
        <f>COUNTIF('Bug Tracker'!$J$2:$J$9,J35)</f>
        <v/>
      </c>
    </row>
    <row r="36">
      <c r="A36" t="inlineStr">
        <is>
          <t>Blocked</t>
        </is>
      </c>
      <c r="B36">
        <f>M10</f>
        <v/>
      </c>
      <c r="G36" t="inlineStr">
        <is>
          <t>Low</t>
        </is>
      </c>
      <c r="H36">
        <f>COUNTIF('Bug Tracker'!H$2:H$9,G36)</f>
        <v/>
      </c>
      <c r="J36" t="inlineStr">
        <is>
          <t>Deferred</t>
        </is>
      </c>
      <c r="K36">
        <f>COUNTIF('Bug Tracker'!$J$2:$J$9,J36)</f>
        <v/>
      </c>
    </row>
    <row r="37">
      <c r="A37" t="inlineStr">
        <is>
          <t>Not verified</t>
        </is>
      </c>
      <c r="B37">
        <f>O10</f>
        <v/>
      </c>
    </row>
    <row r="40">
      <c r="A40" t="inlineStr">
        <is>
          <t>Testing result</t>
        </is>
      </c>
      <c r="B40" t="inlineStr">
        <is>
          <t>Count</t>
        </is>
      </c>
      <c r="D40" t="inlineStr">
        <is>
          <t>Open work by module</t>
        </is>
      </c>
      <c r="E40" t="inlineStr">
        <is>
          <t>Open tasks</t>
        </is>
      </c>
    </row>
    <row r="41">
      <c r="A41" t="inlineStr">
        <is>
          <t>Passed</t>
        </is>
      </c>
      <c r="B41">
        <f>G16</f>
        <v/>
      </c>
      <c r="D41">
        <f>'Module Inventory'!B2</f>
        <v/>
      </c>
      <c r="E41">
        <f>'Module Inventory'!R2</f>
        <v/>
      </c>
    </row>
    <row r="42">
      <c r="A42" t="inlineStr">
        <is>
          <t>Failed</t>
        </is>
      </c>
      <c r="B42">
        <f>I16</f>
        <v/>
      </c>
      <c r="D42">
        <f>'Module Inventory'!B3</f>
        <v/>
      </c>
      <c r="E42">
        <f>'Module Inventory'!R3</f>
        <v/>
      </c>
    </row>
    <row r="43">
      <c r="A43" t="inlineStr">
        <is>
          <t>Not run</t>
        </is>
      </c>
      <c r="B43">
        <f>K16</f>
        <v/>
      </c>
      <c r="D43">
        <f>'Module Inventory'!B4</f>
        <v/>
      </c>
      <c r="E43">
        <f>'Module Inventory'!R4</f>
        <v/>
      </c>
    </row>
    <row r="44">
      <c r="A44" t="inlineStr">
        <is>
          <t>Not applicable</t>
        </is>
      </c>
      <c r="B44">
        <f>COUNTIF('Testing &amp; QA'!H2:H21,"Not Applicable")</f>
        <v/>
      </c>
      <c r="D44">
        <f>'Module Inventory'!B5</f>
        <v/>
      </c>
      <c r="E44">
        <f>'Module Inventory'!R5</f>
        <v/>
      </c>
    </row>
    <row r="45">
      <c r="D45">
        <f>'Module Inventory'!B6</f>
        <v/>
      </c>
      <c r="E45">
        <f>'Module Inventory'!R6</f>
        <v/>
      </c>
    </row>
    <row r="46">
      <c r="D46">
        <f>'Module Inventory'!B7</f>
        <v/>
      </c>
      <c r="E46">
        <f>'Module Inventory'!R7</f>
        <v/>
      </c>
    </row>
    <row r="47">
      <c r="D47">
        <f>'Module Inventory'!B8</f>
        <v/>
      </c>
      <c r="E47">
        <f>'Module Inventory'!R8</f>
        <v/>
      </c>
    </row>
    <row r="48">
      <c r="D48">
        <f>'Module Inventory'!B9</f>
        <v/>
      </c>
      <c r="E48">
        <f>'Module Inventory'!R9</f>
        <v/>
      </c>
    </row>
    <row r="49">
      <c r="D49">
        <f>'Module Inventory'!B10</f>
        <v/>
      </c>
      <c r="E49">
        <f>'Module Inventory'!R10</f>
        <v/>
      </c>
    </row>
    <row r="50">
      <c r="D50">
        <f>'Module Inventory'!B11</f>
        <v/>
      </c>
      <c r="E50">
        <f>'Module Inventory'!R11</f>
        <v/>
      </c>
    </row>
    <row r="51">
      <c r="D51">
        <f>'Module Inventory'!B12</f>
        <v/>
      </c>
      <c r="E51">
        <f>'Module Inventory'!R12</f>
        <v/>
      </c>
    </row>
    <row r="52">
      <c r="D52">
        <f>'Module Inventory'!B13</f>
        <v/>
      </c>
      <c r="E52">
        <f>'Module Inventory'!R13</f>
        <v/>
      </c>
    </row>
    <row r="53">
      <c r="D53">
        <f>'Module Inventory'!B14</f>
        <v/>
      </c>
      <c r="E53">
        <f>'Module Inventory'!R14</f>
        <v/>
      </c>
    </row>
    <row r="54">
      <c r="D54">
        <f>'Module Inventory'!B15</f>
        <v/>
      </c>
      <c r="E54">
        <f>'Module Inventory'!R15</f>
        <v/>
      </c>
    </row>
    <row r="55">
      <c r="D55">
        <f>'Module Inventory'!B16</f>
        <v/>
      </c>
      <c r="E55">
        <f>'Module Inventory'!R16</f>
        <v/>
      </c>
    </row>
    <row r="56">
      <c r="D56">
        <f>'Module Inventory'!B17</f>
        <v/>
      </c>
      <c r="E56">
        <f>'Module Inventory'!R17</f>
        <v/>
      </c>
    </row>
    <row r="57">
      <c r="D57">
        <f>'Module Inventory'!B18</f>
        <v/>
      </c>
      <c r="E57">
        <f>'Module Inventory'!R18</f>
        <v/>
      </c>
    </row>
    <row r="58">
      <c r="D58">
        <f>'Module Inventory'!B19</f>
        <v/>
      </c>
      <c r="E58">
        <f>'Module Inventory'!R19</f>
        <v/>
      </c>
    </row>
    <row r="59">
      <c r="D59">
        <f>'Module Inventory'!B20</f>
        <v/>
      </c>
      <c r="E59">
        <f>'Module Inventory'!R20</f>
        <v/>
      </c>
    </row>
    <row r="60">
      <c r="D60">
        <f>'Module Inventory'!B21</f>
        <v/>
      </c>
      <c r="E60">
        <f>'Module Inventory'!R21</f>
        <v/>
      </c>
    </row>
    <row r="61">
      <c r="D61">
        <f>'Module Inventory'!B22</f>
        <v/>
      </c>
      <c r="E61">
        <f>'Module Inventory'!R22</f>
        <v/>
      </c>
    </row>
    <row r="62">
      <c r="D62">
        <f>'Module Inventory'!B23</f>
        <v/>
      </c>
      <c r="E62">
        <f>'Module Inventory'!R23</f>
        <v/>
      </c>
    </row>
    <row r="63">
      <c r="D63">
        <f>'Module Inventory'!B24</f>
        <v/>
      </c>
      <c r="E63">
        <f>'Module Inventory'!R24</f>
        <v/>
      </c>
    </row>
    <row r="116">
      <c r="A116" s="12" t="inlineStr">
        <is>
          <t>How to read this: change a status on Task Tracker, Bug Tracker, Testing &amp; QA, or Module Inventory and the cards above recalculate. Do not type over the chart-data cells in rows 32 to 63. Overall completion stays provisional until the placeholder screens are either removed from scope or built. Owner on every open task is Unassigned because no roster was in the repository.</t>
        </is>
      </c>
    </row>
    <row r="117"/>
    <row r="118"/>
  </sheetData>
  <mergeCells count="29">
    <mergeCell ref="K16:L16"/>
    <mergeCell ref="E26:G27"/>
    <mergeCell ref="O10:P10"/>
    <mergeCell ref="I26:L27"/>
    <mergeCell ref="A2:L2"/>
    <mergeCell ref="I16:J16"/>
    <mergeCell ref="E10:F10"/>
    <mergeCell ref="G10:H10"/>
    <mergeCell ref="M10:N10"/>
    <mergeCell ref="A116:L118"/>
    <mergeCell ref="A30:O31"/>
    <mergeCell ref="E13:F13"/>
    <mergeCell ref="G13:H13"/>
    <mergeCell ref="A4:C4"/>
    <mergeCell ref="M13:N13"/>
    <mergeCell ref="M16:N16"/>
    <mergeCell ref="A19:C19"/>
    <mergeCell ref="A7:C7"/>
    <mergeCell ref="A26:C27"/>
    <mergeCell ref="E16:F16"/>
    <mergeCell ref="G16:H16"/>
    <mergeCell ref="A21:C22"/>
    <mergeCell ref="A5:C6"/>
    <mergeCell ref="I10:J10"/>
    <mergeCell ref="A1:L1"/>
    <mergeCell ref="K10:L10"/>
    <mergeCell ref="I13:J13"/>
    <mergeCell ref="K13:L13"/>
    <mergeCell ref="O13:P13"/>
  </mergeCells>
  <pageMargins left="0.75" right="0.75" top="1" bottom="1" header="0.5" footer="0.5"/>
  <pageSetup orientation="landscape" paperSize="8" fitToHeight="1" fitToWidth="1"/>
  <headerFooter>
    <oddHeader>&amp;LAriav ERP delivery decision</oddHeader>
    <oddFooter>&amp;RProvisional completion  |  16 October 2026  |  Page &amp;P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V29"/>
  <sheetViews>
    <sheetView showGridLines="0"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2" customWidth="1" min="2" max="2"/>
    <col width="42" customWidth="1" min="3" max="3"/>
    <col width="42" customWidth="1" min="4" max="4"/>
    <col width="36" customWidth="1" min="5" max="5"/>
    <col width="42" customWidth="1" min="6" max="6"/>
    <col width="36" customWidth="1" min="7" max="7"/>
    <col width="36" customWidth="1" min="8" max="8"/>
    <col width="22" customWidth="1" min="9" max="9"/>
    <col width="22" customWidth="1" min="10" max="10"/>
    <col width="20" customWidth="1" min="11" max="11"/>
    <col width="12" customWidth="1" min="12" max="12"/>
    <col width="18" customWidth="1" min="13" max="13"/>
    <col width="18" customWidth="1" min="14" max="14"/>
    <col width="18" customWidth="1" min="15" max="15"/>
    <col width="16" customWidth="1" min="16" max="16"/>
    <col width="22" customWidth="1" min="17" max="17"/>
    <col width="14" customWidth="1" min="18" max="18"/>
    <col width="14" customWidth="1" min="19" max="19"/>
    <col width="14" customWidth="1" min="20" max="20"/>
    <col width="42" customWidth="1" min="21" max="21"/>
    <col width="55" customWidth="1" min="22" max="22"/>
  </cols>
  <sheetData>
    <row r="1" ht="32" customHeight="1">
      <c r="A1" s="13" t="inlineStr">
        <is>
          <t>Module ID</t>
        </is>
      </c>
      <c r="B1" s="13" t="inlineStr">
        <is>
          <t>Module Name</t>
        </is>
      </c>
      <c r="C1" s="13" t="inlineStr">
        <is>
          <t>Frontend Location</t>
        </is>
      </c>
      <c r="D1" s="13" t="inlineStr">
        <is>
          <t>Backend Location</t>
        </is>
      </c>
      <c r="E1" s="13" t="inlineStr">
        <is>
          <t>Main Routes / Screens</t>
        </is>
      </c>
      <c r="F1" s="13" t="inlineStr">
        <is>
          <t>Related API Endpoints</t>
        </is>
      </c>
      <c r="G1" s="13" t="inlineStr">
        <is>
          <t>Related Models / Database Tables</t>
        </is>
      </c>
      <c r="H1" s="13" t="inlineStr">
        <is>
          <t>Main Business Functions</t>
        </is>
      </c>
      <c r="I1" s="13" t="inlineStr">
        <is>
          <t>Implementation Status</t>
        </is>
      </c>
      <c r="J1" s="13" t="inlineStr">
        <is>
          <t>Testing Status</t>
        </is>
      </c>
      <c r="K1" s="13" t="inlineStr">
        <is>
          <t>Integration Status</t>
        </is>
      </c>
      <c r="L1" s="13" t="inlineStr">
        <is>
          <t>Weight</t>
        </is>
      </c>
      <c r="M1" s="13" t="inlineStr">
        <is>
          <t>Implementation Points (0-40)</t>
        </is>
      </c>
      <c r="N1" s="13" t="inlineStr">
        <is>
          <t>Integration Points (0-30)</t>
        </is>
      </c>
      <c r="O1" s="13" t="inlineStr">
        <is>
          <t>Testing Points (0-30)</t>
        </is>
      </c>
      <c r="P1" s="13" t="inlineStr">
        <is>
          <t>Completion Percentage</t>
        </is>
      </c>
      <c r="Q1" s="13" t="inlineStr">
        <is>
          <t>Release Readiness</t>
        </is>
      </c>
      <c r="R1" s="13" t="inlineStr">
        <is>
          <t>Open Task Count</t>
        </is>
      </c>
      <c r="S1" s="13" t="inlineStr">
        <is>
          <t>Open Bug Count</t>
        </is>
      </c>
      <c r="T1" s="13" t="inlineStr">
        <is>
          <t>Blocker Count</t>
        </is>
      </c>
      <c r="U1" s="13" t="inlineStr">
        <is>
          <t>Evidence / Source References</t>
        </is>
      </c>
      <c r="V1" s="13" t="inlineStr">
        <is>
          <t>Remarks</t>
        </is>
      </c>
    </row>
    <row r="2" ht="48" customHeight="1">
      <c r="A2" s="14" t="inlineStr">
        <is>
          <t>M01</t>
        </is>
      </c>
      <c r="B2" s="14" t="inlineStr">
        <is>
          <t>Authentication and approval</t>
        </is>
      </c>
      <c r="C2" s="14" t="inlineStr">
        <is>
          <t>frontend/src/screens/auth</t>
        </is>
      </c>
      <c r="D2" s="14" t="inlineStr">
        <is>
          <t>backend/accounts</t>
        </is>
      </c>
      <c r="E2" s="14" t="inlineStr">
        <is>
          <t>Screens 1-5: login, waiting, verbal code, PIN, approval queue</t>
        </is>
      </c>
      <c r="F2" s="14" t="inlineStr">
        <is>
          <t>/api/check-credentials, /api/admin-login, /api/login, /api/verify-otp, /api/auth/me, /api/auth/admin/queue</t>
        </is>
      </c>
      <c r="G2" s="14" t="inlineStr">
        <is>
          <t>accounts_authuser, login request, user token</t>
        </is>
      </c>
      <c r="H2" s="14" t="inlineStr">
        <is>
          <t>Admin PIN login, staff password, approval, verbal code, optional approval bypass</t>
        </is>
      </c>
      <c r="I2" s="14" t="inlineStr">
        <is>
          <t>In Progress</t>
        </is>
      </c>
      <c r="J2" s="14" t="inlineStr">
        <is>
          <t>Partially verified</t>
        </is>
      </c>
      <c r="K2" s="14" t="inlineStr">
        <is>
          <t>Code inspected</t>
        </is>
      </c>
      <c r="L2" s="14" t="n">
        <v>3</v>
      </c>
      <c r="M2" s="14" t="n">
        <v>40</v>
      </c>
      <c r="N2" s="14" t="n">
        <v>30</v>
      </c>
      <c r="O2" s="14" t="n">
        <v>15</v>
      </c>
      <c r="P2" s="15">
        <f>IF(SUM(M2:O2)=0,0,SUM(M2:O2)/100)</f>
        <v/>
      </c>
      <c r="Q2" s="14" t="inlineStr">
        <is>
          <t>Not Ready</t>
        </is>
      </c>
      <c r="R2" s="14">
        <f>COUNTIFS('Task Tracker'!$B$2:$B$40,A2,'Task Tracker'!$H$2:$H$40,"Pending")+COUNTIFS('Task Tracker'!$B$2:$B$40,A2,'Task Tracker'!$H$2:$H$40,"In Progress")+COUNTIFS('Task Tracker'!$B$2:$B$40,A2,'Task Tracker'!$H$2:$H$40,"Blocked")+COUNTIFS('Task Tracker'!$B$2:$B$40,A2,'Task Tracker'!$H$2:$H$40,"Not Verified")</f>
        <v/>
      </c>
      <c r="S2" s="14">
        <f>COUNTIFS('Bug Tracker'!$B$2:$B$30,A2,'Bug Tracker'!$J$2:$J$30,"Open")+COUNTIFS('Bug Tracker'!$B$2:$B$30,A2,'Bug Tracker'!$J$2:$J$30,"In Progress")+COUNTIFS('Bug Tracker'!$B$2:$B$30,A2,'Bug Tracker'!$J$2:$J$30,"Reopened")+COUNTIFS('Bug Tracker'!$B$2:$B$30,A2,'Bug Tracker'!$J$2:$J$30,"Blocked")+COUNTIFS('Bug Tracker'!$B$2:$B$30,A2,'Bug Tracker'!$J$2:$J$30,"Ready for Verification")</f>
        <v/>
      </c>
      <c r="T2" s="14">
        <f>COUNTIFS('Release Blockers &amp; Risks'!$B$2:$B$30,A2,'Release Blockers &amp; Risks'!$I$2:$I$30,"Yes",'Release Blockers &amp; Risks'!$N$2:$N$30,"&lt;&gt;Closed")</f>
        <v/>
      </c>
      <c r="U2" s="14" t="n"/>
      <c r="V2" s="14" t="n"/>
    </row>
    <row r="3" ht="48" customHeight="1">
      <c r="A3" s="16" t="inlineStr">
        <is>
          <t>M02</t>
        </is>
      </c>
      <c r="B3" s="16" t="inlineStr">
        <is>
          <t>Staff accounts</t>
        </is>
      </c>
      <c r="C3" s="16" t="inlineStr">
        <is>
          <t>frontend/src/screens/admin/StaffManagementScreen.tsx</t>
        </is>
      </c>
      <c r="D3" s="16" t="inlineStr">
        <is>
          <t>backend/accounts/staff_views.py</t>
        </is>
      </c>
      <c r="E3" s="16" t="inlineStr">
        <is>
          <t>Screen 7 Staff</t>
        </is>
      </c>
      <c r="F3" s="16" t="inlineStr">
        <is>
          <t>/api/staff/</t>
        </is>
      </c>
      <c r="G3" s="16" t="inlineStr">
        <is>
          <t>accounts_authuser (role staff)</t>
        </is>
      </c>
      <c r="H3" s="16" t="inlineStr">
        <is>
          <t>Admin creates staff, optional login bypass, edit and delete flags forced off</t>
        </is>
      </c>
      <c r="I3" s="16" t="inlineStr">
        <is>
          <t>In Progress</t>
        </is>
      </c>
      <c r="J3" s="16" t="inlineStr">
        <is>
          <t>Partially verified</t>
        </is>
      </c>
      <c r="K3" s="16" t="inlineStr">
        <is>
          <t>Code inspected</t>
        </is>
      </c>
      <c r="L3" s="16" t="n">
        <v>2</v>
      </c>
      <c r="M3" s="16" t="n">
        <v>40</v>
      </c>
      <c r="N3" s="16" t="n">
        <v>25</v>
      </c>
      <c r="O3" s="16" t="n">
        <v>20</v>
      </c>
      <c r="P3" s="17">
        <f>IF(SUM(M3:O3)=0,0,SUM(M3:O3)/100)</f>
        <v/>
      </c>
      <c r="Q3" s="16" t="inlineStr">
        <is>
          <t>Conditionally Ready</t>
        </is>
      </c>
      <c r="R3" s="16">
        <f>COUNTIFS('Task Tracker'!$B$2:$B$40,A3,'Task Tracker'!$H$2:$H$40,"Pending")+COUNTIFS('Task Tracker'!$B$2:$B$40,A3,'Task Tracker'!$H$2:$H$40,"In Progress")+COUNTIFS('Task Tracker'!$B$2:$B$40,A3,'Task Tracker'!$H$2:$H$40,"Blocked")+COUNTIFS('Task Tracker'!$B$2:$B$40,A3,'Task Tracker'!$H$2:$H$40,"Not Verified")</f>
        <v/>
      </c>
      <c r="S3" s="16">
        <f>COUNTIFS('Bug Tracker'!$B$2:$B$30,A3,'Bug Tracker'!$J$2:$J$30,"Open")+COUNTIFS('Bug Tracker'!$B$2:$B$30,A3,'Bug Tracker'!$J$2:$J$30,"In Progress")+COUNTIFS('Bug Tracker'!$B$2:$B$30,A3,'Bug Tracker'!$J$2:$J$30,"Reopened")+COUNTIFS('Bug Tracker'!$B$2:$B$30,A3,'Bug Tracker'!$J$2:$J$30,"Blocked")+COUNTIFS('Bug Tracker'!$B$2:$B$30,A3,'Bug Tracker'!$J$2:$J$30,"Ready for Verification")</f>
        <v/>
      </c>
      <c r="T3" s="16">
        <f>COUNTIFS('Release Blockers &amp; Risks'!$B$2:$B$30,A3,'Release Blockers &amp; Risks'!$I$2:$I$30,"Yes",'Release Blockers &amp; Risks'!$N$2:$N$30,"&lt;&gt;Closed")</f>
        <v/>
      </c>
      <c r="U3" s="16" t="n"/>
      <c r="V3" s="16" t="n"/>
    </row>
    <row r="4" ht="48" customHeight="1">
      <c r="A4" s="14" t="inlineStr">
        <is>
          <t>M03</t>
        </is>
      </c>
      <c r="B4" s="14" t="inlineStr">
        <is>
          <t>Branches</t>
        </is>
      </c>
      <c r="C4" s="14" t="inlineStr">
        <is>
          <t>frontend/src/screens/masters/EntityMasterScreen.tsx</t>
        </is>
      </c>
      <c r="D4" s="14" t="inlineStr">
        <is>
          <t>backend/entities</t>
        </is>
      </c>
      <c r="E4" s="14" t="inlineStr">
        <is>
          <t>Screen 36 Branch Master; header branch selector</t>
        </is>
      </c>
      <c r="F4" s="14" t="inlineStr">
        <is>
          <t>/api/entities/</t>
        </is>
      </c>
      <c r="G4" s="14" t="inlineStr">
        <is>
          <t>entities_entity, entity brand link</t>
        </is>
      </c>
      <c r="H4" s="14" t="inlineStr">
        <is>
          <t>Branch master and the header branch used by operational lists</t>
        </is>
      </c>
      <c r="I4" s="14" t="inlineStr">
        <is>
          <t>Completed</t>
        </is>
      </c>
      <c r="J4" s="14" t="inlineStr">
        <is>
          <t>Partially verified</t>
        </is>
      </c>
      <c r="K4" s="14" t="inlineStr">
        <is>
          <t>Verified</t>
        </is>
      </c>
      <c r="L4" s="14" t="n">
        <v>2</v>
      </c>
      <c r="M4" s="14" t="n">
        <v>40</v>
      </c>
      <c r="N4" s="14" t="n">
        <v>30</v>
      </c>
      <c r="O4" s="14" t="n">
        <v>25</v>
      </c>
      <c r="P4" s="15">
        <f>IF(SUM(M4:O4)=0,0,SUM(M4:O4)/100)</f>
        <v/>
      </c>
      <c r="Q4" s="14" t="inlineStr">
        <is>
          <t>Conditionally Ready</t>
        </is>
      </c>
      <c r="R4" s="14">
        <f>COUNTIFS('Task Tracker'!$B$2:$B$40,A4,'Task Tracker'!$H$2:$H$40,"Pending")+COUNTIFS('Task Tracker'!$B$2:$B$40,A4,'Task Tracker'!$H$2:$H$40,"In Progress")+COUNTIFS('Task Tracker'!$B$2:$B$40,A4,'Task Tracker'!$H$2:$H$40,"Blocked")+COUNTIFS('Task Tracker'!$B$2:$B$40,A4,'Task Tracker'!$H$2:$H$40,"Not Verified")</f>
        <v/>
      </c>
      <c r="S4" s="14">
        <f>COUNTIFS('Bug Tracker'!$B$2:$B$30,A4,'Bug Tracker'!$J$2:$J$30,"Open")+COUNTIFS('Bug Tracker'!$B$2:$B$30,A4,'Bug Tracker'!$J$2:$J$30,"In Progress")+COUNTIFS('Bug Tracker'!$B$2:$B$30,A4,'Bug Tracker'!$J$2:$J$30,"Reopened")+COUNTIFS('Bug Tracker'!$B$2:$B$30,A4,'Bug Tracker'!$J$2:$J$30,"Blocked")+COUNTIFS('Bug Tracker'!$B$2:$B$30,A4,'Bug Tracker'!$J$2:$J$30,"Ready for Verification")</f>
        <v/>
      </c>
      <c r="T4" s="14">
        <f>COUNTIFS('Release Blockers &amp; Risks'!$B$2:$B$30,A4,'Release Blockers &amp; Risks'!$I$2:$I$30,"Yes",'Release Blockers &amp; Risks'!$N$2:$N$30,"&lt;&gt;Closed")</f>
        <v/>
      </c>
      <c r="U4" s="14" t="n"/>
      <c r="V4" s="14" t="n"/>
    </row>
    <row r="5" ht="48" customHeight="1">
      <c r="A5" s="16" t="inlineStr">
        <is>
          <t>M04</t>
        </is>
      </c>
      <c r="B5" s="16" t="inlineStr">
        <is>
          <t>Brands and branch mapping</t>
        </is>
      </c>
      <c r="C5" s="16" t="inlineStr">
        <is>
          <t>frontend/src/screens/masters/BrandMasterScreen.tsx</t>
        </is>
      </c>
      <c r="D5" s="16" t="inlineStr">
        <is>
          <t>backend/brands; backend/entities</t>
        </is>
      </c>
      <c r="E5" s="16" t="inlineStr">
        <is>
          <t>Screen 37 Brand Master</t>
        </is>
      </c>
      <c r="F5" s="16" t="inlineStr">
        <is>
          <t>/api/brands/</t>
        </is>
      </c>
      <c r="G5" s="16" t="inlineStr">
        <is>
          <t>brands_brand, entity-brand through table</t>
        </is>
      </c>
      <c r="H5" s="16" t="inlineStr">
        <is>
          <t>Brand master and which brands a branch may use</t>
        </is>
      </c>
      <c r="I5" s="16" t="inlineStr">
        <is>
          <t>In Progress</t>
        </is>
      </c>
      <c r="J5" s="16" t="inlineStr">
        <is>
          <t>Failed</t>
        </is>
      </c>
      <c r="K5" s="16" t="inlineStr">
        <is>
          <t>Code inspected</t>
        </is>
      </c>
      <c r="L5" s="16" t="n">
        <v>3</v>
      </c>
      <c r="M5" s="16" t="n">
        <v>40</v>
      </c>
      <c r="N5" s="16" t="n">
        <v>25</v>
      </c>
      <c r="O5" s="16" t="n">
        <v>5</v>
      </c>
      <c r="P5" s="17">
        <f>IF(SUM(M5:O5)=0,0,SUM(M5:O5)/100)</f>
        <v/>
      </c>
      <c r="Q5" s="16" t="inlineStr">
        <is>
          <t>Not Ready</t>
        </is>
      </c>
      <c r="R5" s="16">
        <f>COUNTIFS('Task Tracker'!$B$2:$B$40,A5,'Task Tracker'!$H$2:$H$40,"Pending")+COUNTIFS('Task Tracker'!$B$2:$B$40,A5,'Task Tracker'!$H$2:$H$40,"In Progress")+COUNTIFS('Task Tracker'!$B$2:$B$40,A5,'Task Tracker'!$H$2:$H$40,"Blocked")+COUNTIFS('Task Tracker'!$B$2:$B$40,A5,'Task Tracker'!$H$2:$H$40,"Not Verified")</f>
        <v/>
      </c>
      <c r="S5" s="16">
        <f>COUNTIFS('Bug Tracker'!$B$2:$B$30,A5,'Bug Tracker'!$J$2:$J$30,"Open")+COUNTIFS('Bug Tracker'!$B$2:$B$30,A5,'Bug Tracker'!$J$2:$J$30,"In Progress")+COUNTIFS('Bug Tracker'!$B$2:$B$30,A5,'Bug Tracker'!$J$2:$J$30,"Reopened")+COUNTIFS('Bug Tracker'!$B$2:$B$30,A5,'Bug Tracker'!$J$2:$J$30,"Blocked")+COUNTIFS('Bug Tracker'!$B$2:$B$30,A5,'Bug Tracker'!$J$2:$J$30,"Ready for Verification")</f>
        <v/>
      </c>
      <c r="T5" s="16">
        <f>COUNTIFS('Release Blockers &amp; Risks'!$B$2:$B$30,A5,'Release Blockers &amp; Risks'!$I$2:$I$30,"Yes",'Release Blockers &amp; Risks'!$N$2:$N$30,"&lt;&gt;Closed")</f>
        <v/>
      </c>
      <c r="U5" s="16" t="n"/>
      <c r="V5" s="16" t="n"/>
    </row>
    <row r="6" ht="48" customHeight="1">
      <c r="A6" s="14" t="inlineStr">
        <is>
          <t>M05</t>
        </is>
      </c>
      <c r="B6" s="14" t="inlineStr">
        <is>
          <t>Categories</t>
        </is>
      </c>
      <c r="C6" s="14" t="inlineStr">
        <is>
          <t>frontend/src/screens/masters/CategoryMasterScreen.tsx</t>
        </is>
      </c>
      <c r="D6" s="14" t="inlineStr">
        <is>
          <t>backend/categories</t>
        </is>
      </c>
      <c r="E6" s="14" t="inlineStr">
        <is>
          <t>Screen 38 Category Master</t>
        </is>
      </c>
      <c r="F6" s="14" t="inlineStr">
        <is>
          <t>/api/categories/</t>
        </is>
      </c>
      <c r="G6" s="14" t="inlineStr">
        <is>
          <t>categories category tables</t>
        </is>
      </c>
      <c r="H6" s="14" t="inlineStr">
        <is>
          <t>Category and subcategory master</t>
        </is>
      </c>
      <c r="I6" s="14" t="inlineStr">
        <is>
          <t>Completed</t>
        </is>
      </c>
      <c r="J6" s="14" t="inlineStr">
        <is>
          <t>Partially verified</t>
        </is>
      </c>
      <c r="K6" s="14" t="inlineStr">
        <is>
          <t>Verified</t>
        </is>
      </c>
      <c r="L6" s="14" t="n">
        <v>1</v>
      </c>
      <c r="M6" s="14" t="n">
        <v>40</v>
      </c>
      <c r="N6" s="14" t="n">
        <v>30</v>
      </c>
      <c r="O6" s="14" t="n">
        <v>25</v>
      </c>
      <c r="P6" s="15">
        <f>IF(SUM(M6:O6)=0,0,SUM(M6:O6)/100)</f>
        <v/>
      </c>
      <c r="Q6" s="14" t="inlineStr">
        <is>
          <t>Conditionally Ready</t>
        </is>
      </c>
      <c r="R6" s="14">
        <f>COUNTIFS('Task Tracker'!$B$2:$B$40,A6,'Task Tracker'!$H$2:$H$40,"Pending")+COUNTIFS('Task Tracker'!$B$2:$B$40,A6,'Task Tracker'!$H$2:$H$40,"In Progress")+COUNTIFS('Task Tracker'!$B$2:$B$40,A6,'Task Tracker'!$H$2:$H$40,"Blocked")+COUNTIFS('Task Tracker'!$B$2:$B$40,A6,'Task Tracker'!$H$2:$H$40,"Not Verified")</f>
        <v/>
      </c>
      <c r="S6" s="14">
        <f>COUNTIFS('Bug Tracker'!$B$2:$B$30,A6,'Bug Tracker'!$J$2:$J$30,"Open")+COUNTIFS('Bug Tracker'!$B$2:$B$30,A6,'Bug Tracker'!$J$2:$J$30,"In Progress")+COUNTIFS('Bug Tracker'!$B$2:$B$30,A6,'Bug Tracker'!$J$2:$J$30,"Reopened")+COUNTIFS('Bug Tracker'!$B$2:$B$30,A6,'Bug Tracker'!$J$2:$J$30,"Blocked")+COUNTIFS('Bug Tracker'!$B$2:$B$30,A6,'Bug Tracker'!$J$2:$J$30,"Ready for Verification")</f>
        <v/>
      </c>
      <c r="T6" s="14">
        <f>COUNTIFS('Release Blockers &amp; Risks'!$B$2:$B$30,A6,'Release Blockers &amp; Risks'!$I$2:$I$30,"Yes",'Release Blockers &amp; Risks'!$N$2:$N$30,"&lt;&gt;Closed")</f>
        <v/>
      </c>
      <c r="U6" s="14" t="n"/>
      <c r="V6" s="14" t="n"/>
    </row>
    <row r="7" ht="48" customHeight="1">
      <c r="A7" s="16" t="inlineStr">
        <is>
          <t>M06</t>
        </is>
      </c>
      <c r="B7" s="16" t="inlineStr">
        <is>
          <t>Product catalogue</t>
        </is>
      </c>
      <c r="C7" s="16" t="inlineStr">
        <is>
          <t>frontend/src/screens/masters/ProductCatalogueScreen.tsx</t>
        </is>
      </c>
      <c r="D7" s="16" t="inlineStr">
        <is>
          <t>backend/products</t>
        </is>
      </c>
      <c r="E7" s="16" t="inlineStr">
        <is>
          <t>Screen 39 Product Catalogue</t>
        </is>
      </c>
      <c r="F7" s="16" t="inlineStr">
        <is>
          <t>/api/products/</t>
        </is>
      </c>
      <c r="G7" s="16" t="inlineStr">
        <is>
          <t>products_product</t>
        </is>
      </c>
      <c r="H7" s="16" t="inlineStr">
        <is>
          <t>Brand SKUs. Catalogue brand list follows the header branch.</t>
        </is>
      </c>
      <c r="I7" s="16" t="inlineStr">
        <is>
          <t>In Progress</t>
        </is>
      </c>
      <c r="J7" s="16" t="inlineStr">
        <is>
          <t>Partially verified</t>
        </is>
      </c>
      <c r="K7" s="16" t="inlineStr">
        <is>
          <t>Code inspected</t>
        </is>
      </c>
      <c r="L7" s="16" t="n">
        <v>2</v>
      </c>
      <c r="M7" s="16" t="n">
        <v>35</v>
      </c>
      <c r="N7" s="16" t="n">
        <v>25</v>
      </c>
      <c r="O7" s="16" t="n">
        <v>15</v>
      </c>
      <c r="P7" s="17">
        <f>IF(SUM(M7:O7)=0,0,SUM(M7:O7)/100)</f>
        <v/>
      </c>
      <c r="Q7" s="16" t="inlineStr">
        <is>
          <t>Conditionally Ready</t>
        </is>
      </c>
      <c r="R7" s="16">
        <f>COUNTIFS('Task Tracker'!$B$2:$B$40,A7,'Task Tracker'!$H$2:$H$40,"Pending")+COUNTIFS('Task Tracker'!$B$2:$B$40,A7,'Task Tracker'!$H$2:$H$40,"In Progress")+COUNTIFS('Task Tracker'!$B$2:$B$40,A7,'Task Tracker'!$H$2:$H$40,"Blocked")+COUNTIFS('Task Tracker'!$B$2:$B$40,A7,'Task Tracker'!$H$2:$H$40,"Not Verified")</f>
        <v/>
      </c>
      <c r="S7" s="16">
        <f>COUNTIFS('Bug Tracker'!$B$2:$B$30,A7,'Bug Tracker'!$J$2:$J$30,"Open")+COUNTIFS('Bug Tracker'!$B$2:$B$30,A7,'Bug Tracker'!$J$2:$J$30,"In Progress")+COUNTIFS('Bug Tracker'!$B$2:$B$30,A7,'Bug Tracker'!$J$2:$J$30,"Reopened")+COUNTIFS('Bug Tracker'!$B$2:$B$30,A7,'Bug Tracker'!$J$2:$J$30,"Blocked")+COUNTIFS('Bug Tracker'!$B$2:$B$30,A7,'Bug Tracker'!$J$2:$J$30,"Ready for Verification")</f>
        <v/>
      </c>
      <c r="T7" s="16">
        <f>COUNTIFS('Release Blockers &amp; Risks'!$B$2:$B$30,A7,'Release Blockers &amp; Risks'!$I$2:$I$30,"Yes",'Release Blockers &amp; Risks'!$N$2:$N$30,"&lt;&gt;Closed")</f>
        <v/>
      </c>
      <c r="U7" s="16" t="n"/>
      <c r="V7" s="16" t="n"/>
    </row>
    <row r="8" ht="48" customHeight="1">
      <c r="A8" s="14" t="inlineStr">
        <is>
          <t>M07</t>
        </is>
      </c>
      <c r="B8" s="14" t="inlineStr">
        <is>
          <t>Parties</t>
        </is>
      </c>
      <c r="C8" s="14" t="inlineStr">
        <is>
          <t>frontend/src/screens/masters/PartyMasterScreen.tsx</t>
        </is>
      </c>
      <c r="D8" s="14" t="inlineStr">
        <is>
          <t>backend/customers</t>
        </is>
      </c>
      <c r="E8" s="14" t="inlineStr">
        <is>
          <t>Screen 23 Party Master</t>
        </is>
      </c>
      <c r="F8" s="14" t="inlineStr">
        <is>
          <t>/api/customers/</t>
        </is>
      </c>
      <c r="G8" s="14" t="inlineStr">
        <is>
          <t>customers_customer, customer-entity link</t>
        </is>
      </c>
      <c r="H8" s="14" t="inlineStr">
        <is>
          <t>Party master, codes, GSTIN and branch links</t>
        </is>
      </c>
      <c r="I8" s="14" t="inlineStr">
        <is>
          <t>In Progress</t>
        </is>
      </c>
      <c r="J8" s="14" t="inlineStr">
        <is>
          <t>Failed</t>
        </is>
      </c>
      <c r="K8" s="14" t="inlineStr">
        <is>
          <t>Code inspected</t>
        </is>
      </c>
      <c r="L8" s="14" t="n">
        <v>3</v>
      </c>
      <c r="M8" s="14" t="n">
        <v>40</v>
      </c>
      <c r="N8" s="14" t="n">
        <v>25</v>
      </c>
      <c r="O8" s="14" t="n">
        <v>10</v>
      </c>
      <c r="P8" s="15">
        <f>IF(SUM(M8:O8)=0,0,SUM(M8:O8)/100)</f>
        <v/>
      </c>
      <c r="Q8" s="14" t="inlineStr">
        <is>
          <t>Not Ready</t>
        </is>
      </c>
      <c r="R8" s="14">
        <f>COUNTIFS('Task Tracker'!$B$2:$B$40,A8,'Task Tracker'!$H$2:$H$40,"Pending")+COUNTIFS('Task Tracker'!$B$2:$B$40,A8,'Task Tracker'!$H$2:$H$40,"In Progress")+COUNTIFS('Task Tracker'!$B$2:$B$40,A8,'Task Tracker'!$H$2:$H$40,"Blocked")+COUNTIFS('Task Tracker'!$B$2:$B$40,A8,'Task Tracker'!$H$2:$H$40,"Not Verified")</f>
        <v/>
      </c>
      <c r="S8" s="14">
        <f>COUNTIFS('Bug Tracker'!$B$2:$B$30,A8,'Bug Tracker'!$J$2:$J$30,"Open")+COUNTIFS('Bug Tracker'!$B$2:$B$30,A8,'Bug Tracker'!$J$2:$J$30,"In Progress")+COUNTIFS('Bug Tracker'!$B$2:$B$30,A8,'Bug Tracker'!$J$2:$J$30,"Reopened")+COUNTIFS('Bug Tracker'!$B$2:$B$30,A8,'Bug Tracker'!$J$2:$J$30,"Blocked")+COUNTIFS('Bug Tracker'!$B$2:$B$30,A8,'Bug Tracker'!$J$2:$J$30,"Ready for Verification")</f>
        <v/>
      </c>
      <c r="T8" s="14">
        <f>COUNTIFS('Release Blockers &amp; Risks'!$B$2:$B$30,A8,'Release Blockers &amp; Risks'!$I$2:$I$30,"Yes",'Release Blockers &amp; Risks'!$N$2:$N$30,"&lt;&gt;Closed")</f>
        <v/>
      </c>
      <c r="U8" s="14" t="n"/>
      <c r="V8" s="14" t="n"/>
    </row>
    <row r="9" ht="48" customHeight="1">
      <c r="A9" s="16" t="inlineStr">
        <is>
          <t>M08</t>
        </is>
      </c>
      <c r="B9" s="16" t="inlineStr">
        <is>
          <t>Price lists (Excel)</t>
        </is>
      </c>
      <c r="C9" s="16" t="inlineStr">
        <is>
          <t>frontend/src/screens/masters/PriceListScreen.tsx</t>
        </is>
      </c>
      <c r="D9" s="16" t="inlineStr">
        <is>
          <t>backend/price_lists</t>
        </is>
      </c>
      <c r="E9" s="16" t="inlineStr">
        <is>
          <t>Screen 49 Price Lists; Import from file</t>
        </is>
      </c>
      <c r="F9" s="16" t="inlineStr">
        <is>
          <t>/api/price-lists/import/preview/, /api/price-lists/import/commit/</t>
        </is>
      </c>
      <c r="G9" s="16" t="inlineStr">
        <is>
          <t>price_lists_pricelist, pricelistentry, quality entry</t>
        </is>
      </c>
      <c r="H9" s="16" t="inlineStr">
        <is>
          <t>Seasonal Excel price lists and OCM quality workbook import</t>
        </is>
      </c>
      <c r="I9" s="16" t="inlineStr">
        <is>
          <t>Completed</t>
        </is>
      </c>
      <c r="J9" s="16" t="inlineStr">
        <is>
          <t>Partially verified</t>
        </is>
      </c>
      <c r="K9" s="16" t="inlineStr">
        <is>
          <t>Verified</t>
        </is>
      </c>
      <c r="L9" s="16" t="n">
        <v>2</v>
      </c>
      <c r="M9" s="16" t="n">
        <v>40</v>
      </c>
      <c r="N9" s="16" t="n">
        <v>30</v>
      </c>
      <c r="O9" s="16" t="n">
        <v>25</v>
      </c>
      <c r="P9" s="17">
        <f>IF(SUM(M9:O9)=0,0,SUM(M9:O9)/100)</f>
        <v/>
      </c>
      <c r="Q9" s="16" t="inlineStr">
        <is>
          <t>Conditionally Ready</t>
        </is>
      </c>
      <c r="R9" s="16">
        <f>COUNTIFS('Task Tracker'!$B$2:$B$40,A9,'Task Tracker'!$H$2:$H$40,"Pending")+COUNTIFS('Task Tracker'!$B$2:$B$40,A9,'Task Tracker'!$H$2:$H$40,"In Progress")+COUNTIFS('Task Tracker'!$B$2:$B$40,A9,'Task Tracker'!$H$2:$H$40,"Blocked")+COUNTIFS('Task Tracker'!$B$2:$B$40,A9,'Task Tracker'!$H$2:$H$40,"Not Verified")</f>
        <v/>
      </c>
      <c r="S9" s="16">
        <f>COUNTIFS('Bug Tracker'!$B$2:$B$30,A9,'Bug Tracker'!$J$2:$J$30,"Open")+COUNTIFS('Bug Tracker'!$B$2:$B$30,A9,'Bug Tracker'!$J$2:$J$30,"In Progress")+COUNTIFS('Bug Tracker'!$B$2:$B$30,A9,'Bug Tracker'!$J$2:$J$30,"Reopened")+COUNTIFS('Bug Tracker'!$B$2:$B$30,A9,'Bug Tracker'!$J$2:$J$30,"Blocked")+COUNTIFS('Bug Tracker'!$B$2:$B$30,A9,'Bug Tracker'!$J$2:$J$30,"Ready for Verification")</f>
        <v/>
      </c>
      <c r="T9" s="16">
        <f>COUNTIFS('Release Blockers &amp; Risks'!$B$2:$B$30,A9,'Release Blockers &amp; Risks'!$I$2:$I$30,"Yes",'Release Blockers &amp; Risks'!$N$2:$N$30,"&lt;&gt;Closed")</f>
        <v/>
      </c>
      <c r="U9" s="16" t="n"/>
      <c r="V9" s="16" t="n"/>
    </row>
    <row r="10" ht="48" customHeight="1">
      <c r="A10" s="14" t="inlineStr">
        <is>
          <t>M09</t>
        </is>
      </c>
      <c r="B10" s="14" t="inlineStr">
        <is>
          <t>Price lists (PDF)</t>
        </is>
      </c>
      <c r="C10" s="14" t="inlineStr">
        <is>
          <t>Not built</t>
        </is>
      </c>
      <c r="D10" s="14" t="inlineStr">
        <is>
          <t>backend/price_lists/models.py BrandQualityPrice</t>
        </is>
      </c>
      <c r="E10" s="14" t="inlineStr">
        <is>
          <t>No Import PDF screen</t>
        </is>
      </c>
      <c r="F10" s="14" t="inlineStr">
        <is>
          <t>No /api/price-lists/import-pdf/ endpoint exists</t>
        </is>
      </c>
      <c r="G10" s="14" t="inlineStr">
        <is>
          <t>price_lists_brandqualityprice; price list source columns</t>
        </is>
      </c>
      <c r="H10" s="14" t="inlineStr">
        <is>
          <t>OCM Summer/Winter PDF extraction, preview, commit and rate lookup were specified and not built</t>
        </is>
      </c>
      <c r="I10" s="14" t="inlineStr">
        <is>
          <t>Pending</t>
        </is>
      </c>
      <c r="J10" s="14" t="inlineStr">
        <is>
          <t>Not verified</t>
        </is>
      </c>
      <c r="K10" s="14" t="inlineStr">
        <is>
          <t>Not verified</t>
        </is>
      </c>
      <c r="L10" s="14" t="n">
        <v>2</v>
      </c>
      <c r="M10" s="14" t="n">
        <v>10</v>
      </c>
      <c r="N10" s="14" t="n">
        <v>0</v>
      </c>
      <c r="O10" s="14" t="n">
        <v>0</v>
      </c>
      <c r="P10" s="15">
        <f>IF(SUM(M10:O10)=0,0,SUM(M10:O10)/100)</f>
        <v/>
      </c>
      <c r="Q10" s="14" t="inlineStr">
        <is>
          <t>Not Ready</t>
        </is>
      </c>
      <c r="R10" s="14">
        <f>COUNTIFS('Task Tracker'!$B$2:$B$40,A10,'Task Tracker'!$H$2:$H$40,"Pending")+COUNTIFS('Task Tracker'!$B$2:$B$40,A10,'Task Tracker'!$H$2:$H$40,"In Progress")+COUNTIFS('Task Tracker'!$B$2:$B$40,A10,'Task Tracker'!$H$2:$H$40,"Blocked")+COUNTIFS('Task Tracker'!$B$2:$B$40,A10,'Task Tracker'!$H$2:$H$40,"Not Verified")</f>
        <v/>
      </c>
      <c r="S10" s="14">
        <f>COUNTIFS('Bug Tracker'!$B$2:$B$30,A10,'Bug Tracker'!$J$2:$J$30,"Open")+COUNTIFS('Bug Tracker'!$B$2:$B$30,A10,'Bug Tracker'!$J$2:$J$30,"In Progress")+COUNTIFS('Bug Tracker'!$B$2:$B$30,A10,'Bug Tracker'!$J$2:$J$30,"Reopened")+COUNTIFS('Bug Tracker'!$B$2:$B$30,A10,'Bug Tracker'!$J$2:$J$30,"Blocked")+COUNTIFS('Bug Tracker'!$B$2:$B$30,A10,'Bug Tracker'!$J$2:$J$30,"Ready for Verification")</f>
        <v/>
      </c>
      <c r="T10" s="14">
        <f>COUNTIFS('Release Blockers &amp; Risks'!$B$2:$B$30,A10,'Release Blockers &amp; Risks'!$I$2:$I$30,"Yes",'Release Blockers &amp; Risks'!$N$2:$N$30,"&lt;&gt;Closed")</f>
        <v/>
      </c>
      <c r="U10" s="14" t="n"/>
      <c r="V10" s="14" t="n"/>
    </row>
    <row r="11" ht="48" customHeight="1">
      <c r="A11" s="16" t="inlineStr">
        <is>
          <t>M10</t>
        </is>
      </c>
      <c r="B11" s="16" t="inlineStr">
        <is>
          <t>Purchase orders</t>
        </is>
      </c>
      <c r="C11" s="16" t="inlineStr">
        <is>
          <t>frontend/src/screens/core/PurchaseOrderScreen.tsx</t>
        </is>
      </c>
      <c r="D11" s="16" t="inlineStr">
        <is>
          <t>backend/purchase_orders</t>
        </is>
      </c>
      <c r="E11" s="16" t="inlineStr">
        <is>
          <t>Screen 40 Purchase Orders</t>
        </is>
      </c>
      <c r="F11" s="16" t="inlineStr">
        <is>
          <t>/api/purchase-orders/</t>
        </is>
      </c>
      <c r="G11" s="16" t="inlineStr">
        <is>
          <t>purchase_orders_purchaseorder, purchaseorderline</t>
        </is>
      </c>
      <c r="H11" s="16" t="inlineStr">
        <is>
          <t>Manual and imported POs, status, lines, Excel import</t>
        </is>
      </c>
      <c r="I11" s="16" t="inlineStr">
        <is>
          <t>In Progress</t>
        </is>
      </c>
      <c r="J11" s="16" t="inlineStr">
        <is>
          <t>Partially verified</t>
        </is>
      </c>
      <c r="K11" s="16" t="inlineStr">
        <is>
          <t>Code inspected</t>
        </is>
      </c>
      <c r="L11" s="16" t="n">
        <v>3</v>
      </c>
      <c r="M11" s="16" t="n">
        <v>40</v>
      </c>
      <c r="N11" s="16" t="n">
        <v>25</v>
      </c>
      <c r="O11" s="16" t="n">
        <v>15</v>
      </c>
      <c r="P11" s="17">
        <f>IF(SUM(M11:O11)=0,0,SUM(M11:O11)/100)</f>
        <v/>
      </c>
      <c r="Q11" s="16" t="inlineStr">
        <is>
          <t>Not Ready</t>
        </is>
      </c>
      <c r="R11" s="16">
        <f>COUNTIFS('Task Tracker'!$B$2:$B$40,A11,'Task Tracker'!$H$2:$H$40,"Pending")+COUNTIFS('Task Tracker'!$B$2:$B$40,A11,'Task Tracker'!$H$2:$H$40,"In Progress")+COUNTIFS('Task Tracker'!$B$2:$B$40,A11,'Task Tracker'!$H$2:$H$40,"Blocked")+COUNTIFS('Task Tracker'!$B$2:$B$40,A11,'Task Tracker'!$H$2:$H$40,"Not Verified")</f>
        <v/>
      </c>
      <c r="S11" s="16">
        <f>COUNTIFS('Bug Tracker'!$B$2:$B$30,A11,'Bug Tracker'!$J$2:$J$30,"Open")+COUNTIFS('Bug Tracker'!$B$2:$B$30,A11,'Bug Tracker'!$J$2:$J$30,"In Progress")+COUNTIFS('Bug Tracker'!$B$2:$B$30,A11,'Bug Tracker'!$J$2:$J$30,"Reopened")+COUNTIFS('Bug Tracker'!$B$2:$B$30,A11,'Bug Tracker'!$J$2:$J$30,"Blocked")+COUNTIFS('Bug Tracker'!$B$2:$B$30,A11,'Bug Tracker'!$J$2:$J$30,"Ready for Verification")</f>
        <v/>
      </c>
      <c r="T11" s="16">
        <f>COUNTIFS('Release Blockers &amp; Risks'!$B$2:$B$30,A11,'Release Blockers &amp; Risks'!$I$2:$I$30,"Yes",'Release Blockers &amp; Risks'!$N$2:$N$30,"&lt;&gt;Closed")</f>
        <v/>
      </c>
      <c r="U11" s="16" t="n"/>
      <c r="V11" s="16" t="n"/>
    </row>
    <row r="12" ht="48" customHeight="1">
      <c r="A12" s="14" t="inlineStr">
        <is>
          <t>M11</t>
        </is>
      </c>
      <c r="B12" s="14" t="inlineStr">
        <is>
          <t>Dispatches and reconciliation</t>
        </is>
      </c>
      <c r="C12" s="14" t="inlineStr">
        <is>
          <t>frontend/src/screens/core/DispatchScreen.tsx; PoDispatchReconciliationScreen.tsx</t>
        </is>
      </c>
      <c r="D12" s="14" t="inlineStr">
        <is>
          <t>backend/dispatches</t>
        </is>
      </c>
      <c r="E12" s="14" t="inlineStr">
        <is>
          <t>Screens 41 and reconciliation</t>
        </is>
      </c>
      <c r="F12" s="14" t="inlineStr">
        <is>
          <t>/api/dispatches/; reconciliation action</t>
        </is>
      </c>
      <c r="G12" s="14" t="inlineStr">
        <is>
          <t>dispatches_dispatch, dispatch lines</t>
        </is>
      </c>
      <c r="H12" s="14" t="inlineStr">
        <is>
          <t>Record dispatch, Excel import, PO versus dispatch reconciliation</t>
        </is>
      </c>
      <c r="I12" s="14" t="inlineStr">
        <is>
          <t>In Progress</t>
        </is>
      </c>
      <c r="J12" s="14" t="inlineStr">
        <is>
          <t>Failed</t>
        </is>
      </c>
      <c r="K12" s="14" t="inlineStr">
        <is>
          <t>Code inspected</t>
        </is>
      </c>
      <c r="L12" s="14" t="n">
        <v>3</v>
      </c>
      <c r="M12" s="14" t="n">
        <v>40</v>
      </c>
      <c r="N12" s="14" t="n">
        <v>25</v>
      </c>
      <c r="O12" s="14" t="n">
        <v>5</v>
      </c>
      <c r="P12" s="15">
        <f>IF(SUM(M12:O12)=0,0,SUM(M12:O12)/100)</f>
        <v/>
      </c>
      <c r="Q12" s="14" t="inlineStr">
        <is>
          <t>Not Ready</t>
        </is>
      </c>
      <c r="R12" s="14">
        <f>COUNTIFS('Task Tracker'!$B$2:$B$40,A12,'Task Tracker'!$H$2:$H$40,"Pending")+COUNTIFS('Task Tracker'!$B$2:$B$40,A12,'Task Tracker'!$H$2:$H$40,"In Progress")+COUNTIFS('Task Tracker'!$B$2:$B$40,A12,'Task Tracker'!$H$2:$H$40,"Blocked")+COUNTIFS('Task Tracker'!$B$2:$B$40,A12,'Task Tracker'!$H$2:$H$40,"Not Verified")</f>
        <v/>
      </c>
      <c r="S12" s="14">
        <f>COUNTIFS('Bug Tracker'!$B$2:$B$30,A12,'Bug Tracker'!$J$2:$J$30,"Open")+COUNTIFS('Bug Tracker'!$B$2:$B$30,A12,'Bug Tracker'!$J$2:$J$30,"In Progress")+COUNTIFS('Bug Tracker'!$B$2:$B$30,A12,'Bug Tracker'!$J$2:$J$30,"Reopened")+COUNTIFS('Bug Tracker'!$B$2:$B$30,A12,'Bug Tracker'!$J$2:$J$30,"Blocked")+COUNTIFS('Bug Tracker'!$B$2:$B$30,A12,'Bug Tracker'!$J$2:$J$30,"Ready for Verification")</f>
        <v/>
      </c>
      <c r="T12" s="14">
        <f>COUNTIFS('Release Blockers &amp; Risks'!$B$2:$B$30,A12,'Release Blockers &amp; Risks'!$I$2:$I$30,"Yes",'Release Blockers &amp; Risks'!$N$2:$N$30,"&lt;&gt;Closed")</f>
        <v/>
      </c>
      <c r="U12" s="14" t="n"/>
      <c r="V12" s="14" t="n"/>
    </row>
    <row r="13" ht="48" customHeight="1">
      <c r="A13" s="16" t="inlineStr">
        <is>
          <t>M12</t>
        </is>
      </c>
      <c r="B13" s="16" t="inlineStr">
        <is>
          <t>Invoices</t>
        </is>
      </c>
      <c r="C13" s="16" t="inlineStr">
        <is>
          <t>frontend/src/screens/core/InvoiceScreen.tsx</t>
        </is>
      </c>
      <c r="D13" s="16" t="inlineStr">
        <is>
          <t>backend/invoices</t>
        </is>
      </c>
      <c r="E13" s="16" t="inlineStr">
        <is>
          <t>Screen 42 Invoices</t>
        </is>
      </c>
      <c r="F13" s="16" t="inlineStr">
        <is>
          <t>/api/invoices/</t>
        </is>
      </c>
      <c r="G13" s="16" t="inlineStr">
        <is>
          <t>invoices_invoice, invoiceline</t>
        </is>
      </c>
      <c r="H13" s="16" t="inlineStr">
        <is>
          <t>Invoice against dispatched quantity, tax, issue, cancel, trace</t>
        </is>
      </c>
      <c r="I13" s="16" t="inlineStr">
        <is>
          <t>In Progress</t>
        </is>
      </c>
      <c r="J13" s="16" t="inlineStr">
        <is>
          <t>Failed</t>
        </is>
      </c>
      <c r="K13" s="16" t="inlineStr">
        <is>
          <t>Code inspected</t>
        </is>
      </c>
      <c r="L13" s="16" t="n">
        <v>3</v>
      </c>
      <c r="M13" s="16" t="n">
        <v>40</v>
      </c>
      <c r="N13" s="16" t="n">
        <v>25</v>
      </c>
      <c r="O13" s="16" t="n">
        <v>5</v>
      </c>
      <c r="P13" s="17">
        <f>IF(SUM(M13:O13)=0,0,SUM(M13:O13)/100)</f>
        <v/>
      </c>
      <c r="Q13" s="16" t="inlineStr">
        <is>
          <t>Not Ready</t>
        </is>
      </c>
      <c r="R13" s="16">
        <f>COUNTIFS('Task Tracker'!$B$2:$B$40,A13,'Task Tracker'!$H$2:$H$40,"Pending")+COUNTIFS('Task Tracker'!$B$2:$B$40,A13,'Task Tracker'!$H$2:$H$40,"In Progress")+COUNTIFS('Task Tracker'!$B$2:$B$40,A13,'Task Tracker'!$H$2:$H$40,"Blocked")+COUNTIFS('Task Tracker'!$B$2:$B$40,A13,'Task Tracker'!$H$2:$H$40,"Not Verified")</f>
        <v/>
      </c>
      <c r="S13" s="16">
        <f>COUNTIFS('Bug Tracker'!$B$2:$B$30,A13,'Bug Tracker'!$J$2:$J$30,"Open")+COUNTIFS('Bug Tracker'!$B$2:$B$30,A13,'Bug Tracker'!$J$2:$J$30,"In Progress")+COUNTIFS('Bug Tracker'!$B$2:$B$30,A13,'Bug Tracker'!$J$2:$J$30,"Reopened")+COUNTIFS('Bug Tracker'!$B$2:$B$30,A13,'Bug Tracker'!$J$2:$J$30,"Blocked")+COUNTIFS('Bug Tracker'!$B$2:$B$30,A13,'Bug Tracker'!$J$2:$J$30,"Ready for Verification")</f>
        <v/>
      </c>
      <c r="T13" s="16">
        <f>COUNTIFS('Release Blockers &amp; Risks'!$B$2:$B$30,A13,'Release Blockers &amp; Risks'!$I$2:$I$30,"Yes",'Release Blockers &amp; Risks'!$N$2:$N$30,"&lt;&gt;Closed")</f>
        <v/>
      </c>
      <c r="U13" s="16" t="n"/>
      <c r="V13" s="16" t="n"/>
    </row>
    <row r="14" ht="48" customHeight="1">
      <c r="A14" s="14" t="inlineStr">
        <is>
          <t>M13</t>
        </is>
      </c>
      <c r="B14" s="14" t="inlineStr">
        <is>
          <t>Payments and adjustments</t>
        </is>
      </c>
      <c r="C14" s="14" t="inlineStr">
        <is>
          <t>frontend/src/screens/core/PaymentScreen.tsx; PaymentAdjustmentsScreen.tsx</t>
        </is>
      </c>
      <c r="D14" s="14" t="inlineStr">
        <is>
          <t>backend/payments</t>
        </is>
      </c>
      <c r="E14" s="14" t="inlineStr">
        <is>
          <t>Screens 43 and 45</t>
        </is>
      </c>
      <c r="F14" s="14" t="inlineStr">
        <is>
          <t>/api/payments/; /api/payment-adjustments/</t>
        </is>
      </c>
      <c r="G14" s="14" t="inlineStr">
        <is>
          <t>payments_payment, allocation, adjustment</t>
        </is>
      </c>
      <c r="H14" s="14" t="inlineStr">
        <is>
          <t>Receipts, allocation to invoices, adjustment audit trail</t>
        </is>
      </c>
      <c r="I14" s="14" t="inlineStr">
        <is>
          <t>In Progress</t>
        </is>
      </c>
      <c r="J14" s="14" t="inlineStr">
        <is>
          <t>Failed</t>
        </is>
      </c>
      <c r="K14" s="14" t="inlineStr">
        <is>
          <t>Code inspected</t>
        </is>
      </c>
      <c r="L14" s="14" t="n">
        <v>3</v>
      </c>
      <c r="M14" s="14" t="n">
        <v>40</v>
      </c>
      <c r="N14" s="14" t="n">
        <v>25</v>
      </c>
      <c r="O14" s="14" t="n">
        <v>5</v>
      </c>
      <c r="P14" s="15">
        <f>IF(SUM(M14:O14)=0,0,SUM(M14:O14)/100)</f>
        <v/>
      </c>
      <c r="Q14" s="14" t="inlineStr">
        <is>
          <t>Not Ready</t>
        </is>
      </c>
      <c r="R14" s="14">
        <f>COUNTIFS('Task Tracker'!$B$2:$B$40,A14,'Task Tracker'!$H$2:$H$40,"Pending")+COUNTIFS('Task Tracker'!$B$2:$B$40,A14,'Task Tracker'!$H$2:$H$40,"In Progress")+COUNTIFS('Task Tracker'!$B$2:$B$40,A14,'Task Tracker'!$H$2:$H$40,"Blocked")+COUNTIFS('Task Tracker'!$B$2:$B$40,A14,'Task Tracker'!$H$2:$H$40,"Not Verified")</f>
        <v/>
      </c>
      <c r="S14" s="14">
        <f>COUNTIFS('Bug Tracker'!$B$2:$B$30,A14,'Bug Tracker'!$J$2:$J$30,"Open")+COUNTIFS('Bug Tracker'!$B$2:$B$30,A14,'Bug Tracker'!$J$2:$J$30,"In Progress")+COUNTIFS('Bug Tracker'!$B$2:$B$30,A14,'Bug Tracker'!$J$2:$J$30,"Reopened")+COUNTIFS('Bug Tracker'!$B$2:$B$30,A14,'Bug Tracker'!$J$2:$J$30,"Blocked")+COUNTIFS('Bug Tracker'!$B$2:$B$30,A14,'Bug Tracker'!$J$2:$J$30,"Ready for Verification")</f>
        <v/>
      </c>
      <c r="T14" s="14">
        <f>COUNTIFS('Release Blockers &amp; Risks'!$B$2:$B$30,A14,'Release Blockers &amp; Risks'!$I$2:$I$30,"Yes",'Release Blockers &amp; Risks'!$N$2:$N$30,"&lt;&gt;Closed")</f>
        <v/>
      </c>
      <c r="U14" s="14" t="n"/>
      <c r="V14" s="14" t="n"/>
    </row>
    <row r="15" ht="48" customHeight="1">
      <c r="A15" s="16" t="inlineStr">
        <is>
          <t>M14</t>
        </is>
      </c>
      <c r="B15" s="16" t="inlineStr">
        <is>
          <t>Notifications</t>
        </is>
      </c>
      <c r="C15" s="16" t="inlineStr">
        <is>
          <t>frontend/src/screens/core/NotificationsScreen.tsx</t>
        </is>
      </c>
      <c r="D15" s="16" t="inlineStr">
        <is>
          <t>backend/notifications</t>
        </is>
      </c>
      <c r="E15" s="16" t="inlineStr">
        <is>
          <t>Screen 46 Notifications</t>
        </is>
      </c>
      <c r="F15" s="16" t="inlineStr">
        <is>
          <t>/api/notifications/</t>
        </is>
      </c>
      <c r="G15" s="16" t="inlineStr">
        <is>
          <t>notifications_notification</t>
        </is>
      </c>
      <c r="H15" s="16" t="inlineStr">
        <is>
          <t>PO, dispatch and invoice events</t>
        </is>
      </c>
      <c r="I15" s="16" t="inlineStr">
        <is>
          <t>In Progress</t>
        </is>
      </c>
      <c r="J15" s="16" t="inlineStr">
        <is>
          <t>Failed</t>
        </is>
      </c>
      <c r="K15" s="16" t="inlineStr">
        <is>
          <t>Code inspected</t>
        </is>
      </c>
      <c r="L15" s="16" t="n">
        <v>1</v>
      </c>
      <c r="M15" s="16" t="n">
        <v>35</v>
      </c>
      <c r="N15" s="16" t="n">
        <v>25</v>
      </c>
      <c r="O15" s="16" t="n">
        <v>10</v>
      </c>
      <c r="P15" s="17">
        <f>IF(SUM(M15:O15)=0,0,SUM(M15:O15)/100)</f>
        <v/>
      </c>
      <c r="Q15" s="16" t="inlineStr">
        <is>
          <t>Conditionally Ready</t>
        </is>
      </c>
      <c r="R15" s="16">
        <f>COUNTIFS('Task Tracker'!$B$2:$B$40,A15,'Task Tracker'!$H$2:$H$40,"Pending")+COUNTIFS('Task Tracker'!$B$2:$B$40,A15,'Task Tracker'!$H$2:$H$40,"In Progress")+COUNTIFS('Task Tracker'!$B$2:$B$40,A15,'Task Tracker'!$H$2:$H$40,"Blocked")+COUNTIFS('Task Tracker'!$B$2:$B$40,A15,'Task Tracker'!$H$2:$H$40,"Not Verified")</f>
        <v/>
      </c>
      <c r="S15" s="16">
        <f>COUNTIFS('Bug Tracker'!$B$2:$B$30,A15,'Bug Tracker'!$J$2:$J$30,"Open")+COUNTIFS('Bug Tracker'!$B$2:$B$30,A15,'Bug Tracker'!$J$2:$J$30,"In Progress")+COUNTIFS('Bug Tracker'!$B$2:$B$30,A15,'Bug Tracker'!$J$2:$J$30,"Reopened")+COUNTIFS('Bug Tracker'!$B$2:$B$30,A15,'Bug Tracker'!$J$2:$J$30,"Blocked")+COUNTIFS('Bug Tracker'!$B$2:$B$30,A15,'Bug Tracker'!$J$2:$J$30,"Ready for Verification")</f>
        <v/>
      </c>
      <c r="T15" s="16">
        <f>COUNTIFS('Release Blockers &amp; Risks'!$B$2:$B$30,A15,'Release Blockers &amp; Risks'!$I$2:$I$30,"Yes",'Release Blockers &amp; Risks'!$N$2:$N$30,"&lt;&gt;Closed")</f>
        <v/>
      </c>
      <c r="U15" s="16" t="n"/>
      <c r="V15" s="16" t="n"/>
    </row>
    <row r="16" ht="48" customHeight="1">
      <c r="A16" s="14" t="inlineStr">
        <is>
          <t>M15</t>
        </is>
      </c>
      <c r="B16" s="14" t="inlineStr">
        <is>
          <t>Party ledger and Party 360</t>
        </is>
      </c>
      <c r="C16" s="14" t="inlineStr">
        <is>
          <t>frontend/src/screens/core/CustomerLedgerScreen.tsx; Customer360Screen.tsx</t>
        </is>
      </c>
      <c r="D16" s="14" t="inlineStr">
        <is>
          <t>backend/customers; backend/ledger</t>
        </is>
      </c>
      <c r="E16" s="14" t="inlineStr">
        <is>
          <t>Screens 44 and 48</t>
        </is>
      </c>
      <c r="F16" s="14" t="inlineStr">
        <is>
          <t>/api/customers/{id}/ledger/; profile 360</t>
        </is>
      </c>
      <c r="G16" s="14" t="inlineStr">
        <is>
          <t>customer ledger built from invoices and payments; ledger_ledgerline is a separate posted-line table</t>
        </is>
      </c>
      <c r="H16" s="14" t="inlineStr">
        <is>
          <t>Running party statement and aggregated party profile</t>
        </is>
      </c>
      <c r="I16" s="14" t="inlineStr">
        <is>
          <t>In Progress</t>
        </is>
      </c>
      <c r="J16" s="14" t="inlineStr">
        <is>
          <t>Failed</t>
        </is>
      </c>
      <c r="K16" s="14" t="inlineStr">
        <is>
          <t>Code inspected</t>
        </is>
      </c>
      <c r="L16" s="14" t="n">
        <v>3</v>
      </c>
      <c r="M16" s="14" t="n">
        <v>40</v>
      </c>
      <c r="N16" s="14" t="n">
        <v>25</v>
      </c>
      <c r="O16" s="14" t="n">
        <v>5</v>
      </c>
      <c r="P16" s="15">
        <f>IF(SUM(M16:O16)=0,0,SUM(M16:O16)/100)</f>
        <v/>
      </c>
      <c r="Q16" s="14" t="inlineStr">
        <is>
          <t>Not Ready</t>
        </is>
      </c>
      <c r="R16" s="14">
        <f>COUNTIFS('Task Tracker'!$B$2:$B$40,A16,'Task Tracker'!$H$2:$H$40,"Pending")+COUNTIFS('Task Tracker'!$B$2:$B$40,A16,'Task Tracker'!$H$2:$H$40,"In Progress")+COUNTIFS('Task Tracker'!$B$2:$B$40,A16,'Task Tracker'!$H$2:$H$40,"Blocked")+COUNTIFS('Task Tracker'!$B$2:$B$40,A16,'Task Tracker'!$H$2:$H$40,"Not Verified")</f>
        <v/>
      </c>
      <c r="S16" s="14">
        <f>COUNTIFS('Bug Tracker'!$B$2:$B$30,A16,'Bug Tracker'!$J$2:$J$30,"Open")+COUNTIFS('Bug Tracker'!$B$2:$B$30,A16,'Bug Tracker'!$J$2:$J$30,"In Progress")+COUNTIFS('Bug Tracker'!$B$2:$B$30,A16,'Bug Tracker'!$J$2:$J$30,"Reopened")+COUNTIFS('Bug Tracker'!$B$2:$B$30,A16,'Bug Tracker'!$J$2:$J$30,"Blocked")+COUNTIFS('Bug Tracker'!$B$2:$B$30,A16,'Bug Tracker'!$J$2:$J$30,"Ready for Verification")</f>
        <v/>
      </c>
      <c r="T16" s="14">
        <f>COUNTIFS('Release Blockers &amp; Risks'!$B$2:$B$30,A16,'Release Blockers &amp; Risks'!$I$2:$I$30,"Yes",'Release Blockers &amp; Risks'!$N$2:$N$30,"&lt;&gt;Closed")</f>
        <v/>
      </c>
      <c r="U16" s="14" t="n"/>
      <c r="V16" s="14" t="n"/>
    </row>
    <row r="17" ht="48" customHeight="1">
      <c r="A17" s="16" t="inlineStr">
        <is>
          <t>M16</t>
        </is>
      </c>
      <c r="B17" s="16" t="inlineStr">
        <is>
          <t>Dashboards</t>
        </is>
      </c>
      <c r="C17" s="16" t="inlineStr">
        <is>
          <t>frontend/src/screens/admin/AnalyticsDashboardScreen.tsx</t>
        </is>
      </c>
      <c r="D17" s="16" t="inlineStr">
        <is>
          <t>backend/dashboards</t>
        </is>
      </c>
      <c r="E17" s="16" t="inlineStr">
        <is>
          <t>Screen 6 Business Analytics</t>
        </is>
      </c>
      <c r="F17" s="16" t="inlineStr">
        <is>
          <t>/api/dashboards/admin/</t>
        </is>
      </c>
      <c r="G17" s="16" t="inlineStr">
        <is>
          <t>reads purchase orders, invoices, payments</t>
        </is>
      </c>
      <c r="H17" s="16" t="inlineStr">
        <is>
          <t>Header branch and financial-period KPIs</t>
        </is>
      </c>
      <c r="I17" s="16" t="inlineStr">
        <is>
          <t>Completed</t>
        </is>
      </c>
      <c r="J17" s="16" t="inlineStr">
        <is>
          <t>Partially verified</t>
        </is>
      </c>
      <c r="K17" s="16" t="inlineStr">
        <is>
          <t>Verified</t>
        </is>
      </c>
      <c r="L17" s="16" t="n">
        <v>2</v>
      </c>
      <c r="M17" s="16" t="n">
        <v>40</v>
      </c>
      <c r="N17" s="16" t="n">
        <v>30</v>
      </c>
      <c r="O17" s="16" t="n">
        <v>20</v>
      </c>
      <c r="P17" s="17">
        <f>IF(SUM(M17:O17)=0,0,SUM(M17:O17)/100)</f>
        <v/>
      </c>
      <c r="Q17" s="16" t="inlineStr">
        <is>
          <t>Conditionally Ready</t>
        </is>
      </c>
      <c r="R17" s="16">
        <f>COUNTIFS('Task Tracker'!$B$2:$B$40,A17,'Task Tracker'!$H$2:$H$40,"Pending")+COUNTIFS('Task Tracker'!$B$2:$B$40,A17,'Task Tracker'!$H$2:$H$40,"In Progress")+COUNTIFS('Task Tracker'!$B$2:$B$40,A17,'Task Tracker'!$H$2:$H$40,"Blocked")+COUNTIFS('Task Tracker'!$B$2:$B$40,A17,'Task Tracker'!$H$2:$H$40,"Not Verified")</f>
        <v/>
      </c>
      <c r="S17" s="16">
        <f>COUNTIFS('Bug Tracker'!$B$2:$B$30,A17,'Bug Tracker'!$J$2:$J$30,"Open")+COUNTIFS('Bug Tracker'!$B$2:$B$30,A17,'Bug Tracker'!$J$2:$J$30,"In Progress")+COUNTIFS('Bug Tracker'!$B$2:$B$30,A17,'Bug Tracker'!$J$2:$J$30,"Reopened")+COUNTIFS('Bug Tracker'!$B$2:$B$30,A17,'Bug Tracker'!$J$2:$J$30,"Blocked")+COUNTIFS('Bug Tracker'!$B$2:$B$30,A17,'Bug Tracker'!$J$2:$J$30,"Ready for Verification")</f>
        <v/>
      </c>
      <c r="T17" s="16">
        <f>COUNTIFS('Release Blockers &amp; Risks'!$B$2:$B$30,A17,'Release Blockers &amp; Risks'!$I$2:$I$30,"Yes",'Release Blockers &amp; Risks'!$N$2:$N$30,"&lt;&gt;Closed")</f>
        <v/>
      </c>
      <c r="U17" s="16" t="n"/>
      <c r="V17" s="16" t="n"/>
    </row>
    <row r="18" ht="48" customHeight="1">
      <c r="A18" s="14" t="inlineStr">
        <is>
          <t>M17</t>
        </is>
      </c>
      <c r="B18" s="14" t="inlineStr">
        <is>
          <t>Operational reports API</t>
        </is>
      </c>
      <c r="C18" s="14" t="inlineStr">
        <is>
          <t>frontend/src/screens/reports/AnalyticsReportsScreen.tsx</t>
        </is>
      </c>
      <c r="D18" s="14" t="inlineStr">
        <is>
          <t>backend/reports</t>
        </is>
      </c>
      <c r="E18" s="14" t="inlineStr">
        <is>
          <t>Screen 47 Reports &amp; Analytics</t>
        </is>
      </c>
      <c r="F18" s="14" t="inlineStr">
        <is>
          <t>/api/reports/purchase-sales-trend/ and the other report routes in backend/reports/urls.py</t>
        </is>
      </c>
      <c r="G18" s="14" t="inlineStr">
        <is>
          <t>Aggregates operational documents</t>
        </is>
      </c>
      <c r="H18" s="14" t="inlineStr">
        <is>
          <t>Purchase, sales, payment, product and performance trends</t>
        </is>
      </c>
      <c r="I18" s="14" t="inlineStr">
        <is>
          <t>Completed</t>
        </is>
      </c>
      <c r="J18" s="14" t="inlineStr">
        <is>
          <t>Partially verified</t>
        </is>
      </c>
      <c r="K18" s="14" t="inlineStr">
        <is>
          <t>Verified</t>
        </is>
      </c>
      <c r="L18" s="14" t="n">
        <v>2</v>
      </c>
      <c r="M18" s="14" t="n">
        <v>40</v>
      </c>
      <c r="N18" s="14" t="n">
        <v>30</v>
      </c>
      <c r="O18" s="14" t="n">
        <v>25</v>
      </c>
      <c r="P18" s="15">
        <f>IF(SUM(M18:O18)=0,0,SUM(M18:O18)/100)</f>
        <v/>
      </c>
      <c r="Q18" s="14" t="inlineStr">
        <is>
          <t>Conditionally Ready</t>
        </is>
      </c>
      <c r="R18" s="14">
        <f>COUNTIFS('Task Tracker'!$B$2:$B$40,A18,'Task Tracker'!$H$2:$H$40,"Pending")+COUNTIFS('Task Tracker'!$B$2:$B$40,A18,'Task Tracker'!$H$2:$H$40,"In Progress")+COUNTIFS('Task Tracker'!$B$2:$B$40,A18,'Task Tracker'!$H$2:$H$40,"Blocked")+COUNTIFS('Task Tracker'!$B$2:$B$40,A18,'Task Tracker'!$H$2:$H$40,"Not Verified")</f>
        <v/>
      </c>
      <c r="S18" s="14">
        <f>COUNTIFS('Bug Tracker'!$B$2:$B$30,A18,'Bug Tracker'!$J$2:$J$30,"Open")+COUNTIFS('Bug Tracker'!$B$2:$B$30,A18,'Bug Tracker'!$J$2:$J$30,"In Progress")+COUNTIFS('Bug Tracker'!$B$2:$B$30,A18,'Bug Tracker'!$J$2:$J$30,"Reopened")+COUNTIFS('Bug Tracker'!$B$2:$B$30,A18,'Bug Tracker'!$J$2:$J$30,"Blocked")+COUNTIFS('Bug Tracker'!$B$2:$B$30,A18,'Bug Tracker'!$J$2:$J$30,"Ready for Verification")</f>
        <v/>
      </c>
      <c r="T18" s="14">
        <f>COUNTIFS('Release Blockers &amp; Risks'!$B$2:$B$30,A18,'Release Blockers &amp; Risks'!$I$2:$I$30,"Yes",'Release Blockers &amp; Risks'!$N$2:$N$30,"&lt;&gt;Closed")</f>
        <v/>
      </c>
      <c r="U18" s="14" t="n"/>
      <c r="V18" s="14" t="n"/>
    </row>
    <row r="19" ht="48" customHeight="1">
      <c r="A19" s="16" t="inlineStr">
        <is>
          <t>M18</t>
        </is>
      </c>
      <c r="B19" s="16" t="inlineStr">
        <is>
          <t>Statutory and cash-book screens</t>
        </is>
      </c>
      <c r="C19" s="16" t="inlineStr">
        <is>
          <t>frontend/src/screens/reports/TrialBalanceScreen.tsx and sibling report screens</t>
        </is>
      </c>
      <c r="D19" s="16" t="inlineStr">
        <is>
          <t>backend/ledger/models.py LedgerLine is not used by these screens</t>
        </is>
      </c>
      <c r="E19" s="16" t="inlineStr">
        <is>
          <t>Screens 29, 30, 32, 33, 34, 35</t>
        </is>
      </c>
      <c r="F19" s="16" t="inlineStr">
        <is>
          <t>None. Screens keep sample arrays in component state.</t>
        </is>
      </c>
      <c r="G19" s="16" t="inlineStr">
        <is>
          <t>None for these screens</t>
        </is>
      </c>
      <c r="H19" s="16" t="inlineStr">
        <is>
          <t>Sales register, purchase register, trial balance, balance sheet, profit and loss, bank and cash book</t>
        </is>
      </c>
      <c r="I19" s="16" t="inlineStr">
        <is>
          <t>Pending</t>
        </is>
      </c>
      <c r="J19" s="16" t="inlineStr">
        <is>
          <t>Not verified</t>
        </is>
      </c>
      <c r="K19" s="16" t="inlineStr">
        <is>
          <t>Not verified</t>
        </is>
      </c>
      <c r="L19" s="16" t="n">
        <v>3</v>
      </c>
      <c r="M19" s="16" t="n">
        <v>10</v>
      </c>
      <c r="N19" s="16" t="n">
        <v>0</v>
      </c>
      <c r="O19" s="16" t="n">
        <v>0</v>
      </c>
      <c r="P19" s="17">
        <f>IF(SUM(M19:O19)=0,0,SUM(M19:O19)/100)</f>
        <v/>
      </c>
      <c r="Q19" s="16" t="inlineStr">
        <is>
          <t>Not Ready</t>
        </is>
      </c>
      <c r="R19" s="16">
        <f>COUNTIFS('Task Tracker'!$B$2:$B$40,A19,'Task Tracker'!$H$2:$H$40,"Pending")+COUNTIFS('Task Tracker'!$B$2:$B$40,A19,'Task Tracker'!$H$2:$H$40,"In Progress")+COUNTIFS('Task Tracker'!$B$2:$B$40,A19,'Task Tracker'!$H$2:$H$40,"Blocked")+COUNTIFS('Task Tracker'!$B$2:$B$40,A19,'Task Tracker'!$H$2:$H$40,"Not Verified")</f>
        <v/>
      </c>
      <c r="S19" s="16">
        <f>COUNTIFS('Bug Tracker'!$B$2:$B$30,A19,'Bug Tracker'!$J$2:$J$30,"Open")+COUNTIFS('Bug Tracker'!$B$2:$B$30,A19,'Bug Tracker'!$J$2:$J$30,"In Progress")+COUNTIFS('Bug Tracker'!$B$2:$B$30,A19,'Bug Tracker'!$J$2:$J$30,"Reopened")+COUNTIFS('Bug Tracker'!$B$2:$B$30,A19,'Bug Tracker'!$J$2:$J$30,"Blocked")+COUNTIFS('Bug Tracker'!$B$2:$B$30,A19,'Bug Tracker'!$J$2:$J$30,"Ready for Verification")</f>
        <v/>
      </c>
      <c r="T19" s="16">
        <f>COUNTIFS('Release Blockers &amp; Risks'!$B$2:$B$30,A19,'Release Blockers &amp; Risks'!$I$2:$I$30,"Yes",'Release Blockers &amp; Risks'!$N$2:$N$30,"&lt;&gt;Closed")</f>
        <v/>
      </c>
      <c r="U19" s="16" t="n"/>
      <c r="V19" s="16" t="n"/>
    </row>
    <row r="20" ht="48" customHeight="1">
      <c r="A20" s="14" t="inlineStr">
        <is>
          <t>M19</t>
        </is>
      </c>
      <c r="B20" s="14" t="inlineStr">
        <is>
          <t>Vouchers, notes and order form</t>
        </is>
      </c>
      <c r="C20" s="14" t="inlineStr">
        <is>
          <t>frontend/src/screens/core/BankReceiptVoucherScreen.tsx and sibling screens; OrderFormScreen.tsx</t>
        </is>
      </c>
      <c r="D20" s="14" t="inlineStr">
        <is>
          <t>backend/transactions/models.py</t>
        </is>
      </c>
      <c r="E20" s="14" t="inlineStr">
        <is>
          <t>Screens 13, 14, 15, 17, 18, 19, 20 and order form</t>
        </is>
      </c>
      <c r="F20" s="14" t="inlineStr">
        <is>
          <t>These screens do not call the API.</t>
        </is>
      </c>
      <c r="G20" s="14" t="inlineStr">
        <is>
          <t>transactions_orderform, transactions_salesinvoice, bank and cash voucher tables</t>
        </is>
      </c>
      <c r="H20" s="14" t="inlineStr">
        <is>
          <t>Bank receipt, cash receipt, payment voucher, credit note, debit note, material return, order form</t>
        </is>
      </c>
      <c r="I20" s="14" t="inlineStr">
        <is>
          <t>Pending</t>
        </is>
      </c>
      <c r="J20" s="14" t="inlineStr">
        <is>
          <t>Not verified</t>
        </is>
      </c>
      <c r="K20" s="14" t="inlineStr">
        <is>
          <t>Not verified</t>
        </is>
      </c>
      <c r="L20" s="14" t="n">
        <v>2</v>
      </c>
      <c r="M20" s="14" t="n">
        <v>15</v>
      </c>
      <c r="N20" s="14" t="n">
        <v>0</v>
      </c>
      <c r="O20" s="14" t="n">
        <v>0</v>
      </c>
      <c r="P20" s="15">
        <f>IF(SUM(M20:O20)=0,0,SUM(M20:O20)/100)</f>
        <v/>
      </c>
      <c r="Q20" s="14" t="inlineStr">
        <is>
          <t>Not Ready</t>
        </is>
      </c>
      <c r="R20" s="14">
        <f>COUNTIFS('Task Tracker'!$B$2:$B$40,A20,'Task Tracker'!$H$2:$H$40,"Pending")+COUNTIFS('Task Tracker'!$B$2:$B$40,A20,'Task Tracker'!$H$2:$H$40,"In Progress")+COUNTIFS('Task Tracker'!$B$2:$B$40,A20,'Task Tracker'!$H$2:$H$40,"Blocked")+COUNTIFS('Task Tracker'!$B$2:$B$40,A20,'Task Tracker'!$H$2:$H$40,"Not Verified")</f>
        <v/>
      </c>
      <c r="S20" s="14">
        <f>COUNTIFS('Bug Tracker'!$B$2:$B$30,A20,'Bug Tracker'!$J$2:$J$30,"Open")+COUNTIFS('Bug Tracker'!$B$2:$B$30,A20,'Bug Tracker'!$J$2:$J$30,"In Progress")+COUNTIFS('Bug Tracker'!$B$2:$B$30,A20,'Bug Tracker'!$J$2:$J$30,"Reopened")+COUNTIFS('Bug Tracker'!$B$2:$B$30,A20,'Bug Tracker'!$J$2:$J$30,"Blocked")+COUNTIFS('Bug Tracker'!$B$2:$B$30,A20,'Bug Tracker'!$J$2:$J$30,"Ready for Verification")</f>
        <v/>
      </c>
      <c r="T20" s="14">
        <f>COUNTIFS('Release Blockers &amp; Risks'!$B$2:$B$30,A20,'Release Blockers &amp; Risks'!$I$2:$I$30,"Yes",'Release Blockers &amp; Risks'!$N$2:$N$30,"&lt;&gt;Closed")</f>
        <v/>
      </c>
      <c r="U20" s="14" t="n"/>
      <c r="V20" s="14" t="n"/>
    </row>
    <row r="21" ht="48" customHeight="1">
      <c r="A21" s="16" t="inlineStr">
        <is>
          <t>M20</t>
        </is>
      </c>
      <c r="B21" s="16" t="inlineStr">
        <is>
          <t>Legacy masters</t>
        </is>
      </c>
      <c r="C21" s="16" t="inlineStr">
        <is>
          <t>frontend/src/screens/masters/ItemMasterScreen.tsx, ChartOfAccountsScreen.tsx, TaxSlabMasterScreen.tsx, BrokerMasterScreen.tsx, ParametersScreen.tsx, GroupProductScreen.tsx</t>
        </is>
      </c>
      <c r="D21" s="16" t="inlineStr">
        <is>
          <t>backend/masters</t>
        </is>
      </c>
      <c r="E21" s="16" t="inlineStr">
        <is>
          <t>Screens 21, 22, 25, 26, 27, 28</t>
        </is>
      </c>
      <c r="F21" s="16" t="inlineStr">
        <is>
          <t>/api/ masters routes</t>
        </is>
      </c>
      <c r="G21" s="16" t="inlineStr">
        <is>
          <t>masters item, group, tax, account, broker tables</t>
        </is>
      </c>
      <c r="H21" s="16" t="inlineStr">
        <is>
          <t>Older item, group, tax, chart of accounts, broker and parameter masters</t>
        </is>
      </c>
      <c r="I21" s="16" t="inlineStr">
        <is>
          <t>Not Verified</t>
        </is>
      </c>
      <c r="J21" s="16" t="inlineStr">
        <is>
          <t>Not verified</t>
        </is>
      </c>
      <c r="K21" s="16" t="inlineStr">
        <is>
          <t>Code inspected</t>
        </is>
      </c>
      <c r="L21" s="16" t="n">
        <v>1</v>
      </c>
      <c r="M21" s="16" t="n">
        <v>30</v>
      </c>
      <c r="N21" s="16" t="n">
        <v>20</v>
      </c>
      <c r="O21" s="16" t="n">
        <v>0</v>
      </c>
      <c r="P21" s="17">
        <f>IF(SUM(M21:O21)=0,0,SUM(M21:O21)/100)</f>
        <v/>
      </c>
      <c r="Q21" s="16" t="inlineStr">
        <is>
          <t>Not Assessed</t>
        </is>
      </c>
      <c r="R21" s="16">
        <f>COUNTIFS('Task Tracker'!$B$2:$B$40,A21,'Task Tracker'!$H$2:$H$40,"Pending")+COUNTIFS('Task Tracker'!$B$2:$B$40,A21,'Task Tracker'!$H$2:$H$40,"In Progress")+COUNTIFS('Task Tracker'!$B$2:$B$40,A21,'Task Tracker'!$H$2:$H$40,"Blocked")+COUNTIFS('Task Tracker'!$B$2:$B$40,A21,'Task Tracker'!$H$2:$H$40,"Not Verified")</f>
        <v/>
      </c>
      <c r="S21" s="16">
        <f>COUNTIFS('Bug Tracker'!$B$2:$B$30,A21,'Bug Tracker'!$J$2:$J$30,"Open")+COUNTIFS('Bug Tracker'!$B$2:$B$30,A21,'Bug Tracker'!$J$2:$J$30,"In Progress")+COUNTIFS('Bug Tracker'!$B$2:$B$30,A21,'Bug Tracker'!$J$2:$J$30,"Reopened")+COUNTIFS('Bug Tracker'!$B$2:$B$30,A21,'Bug Tracker'!$J$2:$J$30,"Blocked")+COUNTIFS('Bug Tracker'!$B$2:$B$30,A21,'Bug Tracker'!$J$2:$J$30,"Ready for Verification")</f>
        <v/>
      </c>
      <c r="T21" s="16">
        <f>COUNTIFS('Release Blockers &amp; Risks'!$B$2:$B$30,A21,'Release Blockers &amp; Risks'!$I$2:$I$30,"Yes",'Release Blockers &amp; Risks'!$N$2:$N$30,"&lt;&gt;Closed")</f>
        <v/>
      </c>
      <c r="U21" s="16" t="n"/>
      <c r="V21" s="16" t="n"/>
    </row>
    <row r="22" ht="48" customHeight="1">
      <c r="A22" s="14" t="inlineStr">
        <is>
          <t>M21</t>
        </is>
      </c>
      <c r="B22" s="14" t="inlineStr">
        <is>
          <t>Backup and year-end screens</t>
        </is>
      </c>
      <c r="C22" s="14" t="inlineStr">
        <is>
          <t>frontend/src/screens/admin/BackupScreen.tsx; YearEndClosingScreen.tsx</t>
        </is>
      </c>
      <c r="D22" s="14" t="inlineStr">
        <is>
          <t>No backup or year-end close API</t>
        </is>
      </c>
      <c r="E22" s="14" t="inlineStr">
        <is>
          <t>Screens 9 and 10</t>
        </is>
      </c>
      <c r="F22" s="14" t="inlineStr">
        <is>
          <t>None</t>
        </is>
      </c>
      <c r="G22" s="14" t="inlineStr">
        <is>
          <t>None</t>
        </is>
      </c>
      <c r="H22" s="14" t="inlineStr">
        <is>
          <t>Backup history and financial-year close</t>
        </is>
      </c>
      <c r="I22" s="14" t="inlineStr">
        <is>
          <t>Blocked</t>
        </is>
      </c>
      <c r="J22" s="14" t="inlineStr">
        <is>
          <t>Failed</t>
        </is>
      </c>
      <c r="K22" s="14" t="inlineStr">
        <is>
          <t>Not verified</t>
        </is>
      </c>
      <c r="L22" s="14" t="n">
        <v>2</v>
      </c>
      <c r="M22" s="14" t="n">
        <v>5</v>
      </c>
      <c r="N22" s="14" t="n">
        <v>0</v>
      </c>
      <c r="O22" s="14" t="n">
        <v>0</v>
      </c>
      <c r="P22" s="15">
        <f>IF(SUM(M22:O22)=0,0,SUM(M22:O22)/100)</f>
        <v/>
      </c>
      <c r="Q22" s="14" t="inlineStr">
        <is>
          <t>Not Ready</t>
        </is>
      </c>
      <c r="R22" s="14">
        <f>COUNTIFS('Task Tracker'!$B$2:$B$40,A22,'Task Tracker'!$H$2:$H$40,"Pending")+COUNTIFS('Task Tracker'!$B$2:$B$40,A22,'Task Tracker'!$H$2:$H$40,"In Progress")+COUNTIFS('Task Tracker'!$B$2:$B$40,A22,'Task Tracker'!$H$2:$H$40,"Blocked")+COUNTIFS('Task Tracker'!$B$2:$B$40,A22,'Task Tracker'!$H$2:$H$40,"Not Verified")</f>
        <v/>
      </c>
      <c r="S22" s="14">
        <f>COUNTIFS('Bug Tracker'!$B$2:$B$30,A22,'Bug Tracker'!$J$2:$J$30,"Open")+COUNTIFS('Bug Tracker'!$B$2:$B$30,A22,'Bug Tracker'!$J$2:$J$30,"In Progress")+COUNTIFS('Bug Tracker'!$B$2:$B$30,A22,'Bug Tracker'!$J$2:$J$30,"Reopened")+COUNTIFS('Bug Tracker'!$B$2:$B$30,A22,'Bug Tracker'!$J$2:$J$30,"Blocked")+COUNTIFS('Bug Tracker'!$B$2:$B$30,A22,'Bug Tracker'!$J$2:$J$30,"Ready for Verification")</f>
        <v/>
      </c>
      <c r="T22" s="14">
        <f>COUNTIFS('Release Blockers &amp; Risks'!$B$2:$B$30,A22,'Release Blockers &amp; Risks'!$I$2:$I$30,"Yes",'Release Blockers &amp; Risks'!$N$2:$N$30,"&lt;&gt;Closed")</f>
        <v/>
      </c>
      <c r="U22" s="14" t="n"/>
      <c r="V22" s="14" t="n"/>
    </row>
    <row r="23" ht="48" customHeight="1">
      <c r="A23" s="16" t="inlineStr">
        <is>
          <t>M22</t>
        </is>
      </c>
      <c r="B23" s="16" t="inlineStr">
        <is>
          <t>Audit log screen</t>
        </is>
      </c>
      <c r="C23" s="16" t="inlineStr">
        <is>
          <t>frontend/src/screens/admin/AuditLogScreen.tsx</t>
        </is>
      </c>
      <c r="D23" s="16" t="inlineStr">
        <is>
          <t>backend/accounts audit trail endpoint</t>
        </is>
      </c>
      <c r="E23" s="16" t="inlineStr">
        <is>
          <t>Screen 8 Forensic Audit Log</t>
        </is>
      </c>
      <c r="F23" s="16" t="inlineStr">
        <is>
          <t>Screen does not call /api/auth/audit-trail</t>
        </is>
      </c>
      <c r="G23" s="16" t="inlineStr">
        <is>
          <t>Server audit rows exist; the screen reads ErpContext auditLogs</t>
        </is>
      </c>
      <c r="H23" s="16" t="inlineStr">
        <is>
          <t>Show user actions</t>
        </is>
      </c>
      <c r="I23" s="16" t="inlineStr">
        <is>
          <t>Not Verified</t>
        </is>
      </c>
      <c r="J23" s="16" t="inlineStr">
        <is>
          <t>Not verified</t>
        </is>
      </c>
      <c r="K23" s="16" t="inlineStr">
        <is>
          <t>Not verified</t>
        </is>
      </c>
      <c r="L23" s="16" t="n">
        <v>1</v>
      </c>
      <c r="M23" s="16" t="n">
        <v>20</v>
      </c>
      <c r="N23" s="16" t="n">
        <v>5</v>
      </c>
      <c r="O23" s="16" t="n">
        <v>0</v>
      </c>
      <c r="P23" s="17">
        <f>IF(SUM(M23:O23)=0,0,SUM(M23:O23)/100)</f>
        <v/>
      </c>
      <c r="Q23" s="16" t="inlineStr">
        <is>
          <t>Not Ready</t>
        </is>
      </c>
      <c r="R23" s="16">
        <f>COUNTIFS('Task Tracker'!$B$2:$B$40,A23,'Task Tracker'!$H$2:$H$40,"Pending")+COUNTIFS('Task Tracker'!$B$2:$B$40,A23,'Task Tracker'!$H$2:$H$40,"In Progress")+COUNTIFS('Task Tracker'!$B$2:$B$40,A23,'Task Tracker'!$H$2:$H$40,"Blocked")+COUNTIFS('Task Tracker'!$B$2:$B$40,A23,'Task Tracker'!$H$2:$H$40,"Not Verified")</f>
        <v/>
      </c>
      <c r="S23" s="16">
        <f>COUNTIFS('Bug Tracker'!$B$2:$B$30,A23,'Bug Tracker'!$J$2:$J$30,"Open")+COUNTIFS('Bug Tracker'!$B$2:$B$30,A23,'Bug Tracker'!$J$2:$J$30,"In Progress")+COUNTIFS('Bug Tracker'!$B$2:$B$30,A23,'Bug Tracker'!$J$2:$J$30,"Reopened")+COUNTIFS('Bug Tracker'!$B$2:$B$30,A23,'Bug Tracker'!$J$2:$J$30,"Blocked")+COUNTIFS('Bug Tracker'!$B$2:$B$30,A23,'Bug Tracker'!$J$2:$J$30,"Ready for Verification")</f>
        <v/>
      </c>
      <c r="T23" s="16">
        <f>COUNTIFS('Release Blockers &amp; Risks'!$B$2:$B$30,A23,'Release Blockers &amp; Risks'!$I$2:$I$30,"Yes",'Release Blockers &amp; Risks'!$N$2:$N$30,"&lt;&gt;Closed")</f>
        <v/>
      </c>
      <c r="U23" s="16" t="n"/>
      <c r="V23" s="16" t="n"/>
    </row>
    <row r="24" ht="48" customHeight="1">
      <c r="A24" s="14" t="inlineStr">
        <is>
          <t>M23</t>
        </is>
      </c>
      <c r="B24" s="14" t="inlineStr">
        <is>
          <t>Party statement import</t>
        </is>
      </c>
      <c r="C24" s="14" t="inlineStr">
        <is>
          <t>frontend/src/screens/reports/BrandStatementReport.tsx</t>
        </is>
      </c>
      <c r="D24" s="14" t="inlineStr">
        <is>
          <t>backend/statements; backend/customers statement-report</t>
        </is>
      </c>
      <c r="E24" s="14" t="inlineStr">
        <is>
          <t>Party Balance report</t>
        </is>
      </c>
      <c r="F24" s="14" t="inlineStr">
        <is>
          <t>/api/customers/statement-report/</t>
        </is>
      </c>
      <c r="G24" s="14" t="inlineStr">
        <is>
          <t>customer statement and statement entry tables</t>
        </is>
      </c>
      <c r="H24" s="14" t="inlineStr">
        <is>
          <t>Load a party statement file and show opening, movement and closing</t>
        </is>
      </c>
      <c r="I24" s="14" t="inlineStr">
        <is>
          <t>Completed</t>
        </is>
      </c>
      <c r="J24" s="14" t="inlineStr">
        <is>
          <t>Partially verified</t>
        </is>
      </c>
      <c r="K24" s="14" t="inlineStr">
        <is>
          <t>Verified</t>
        </is>
      </c>
      <c r="L24" s="14" t="n">
        <v>2</v>
      </c>
      <c r="M24" s="14" t="n">
        <v>40</v>
      </c>
      <c r="N24" s="14" t="n">
        <v>30</v>
      </c>
      <c r="O24" s="14" t="n">
        <v>25</v>
      </c>
      <c r="P24" s="15">
        <f>IF(SUM(M24:O24)=0,0,SUM(M24:O24)/100)</f>
        <v/>
      </c>
      <c r="Q24" s="14" t="inlineStr">
        <is>
          <t>Conditionally Ready</t>
        </is>
      </c>
      <c r="R24" s="14">
        <f>COUNTIFS('Task Tracker'!$B$2:$B$40,A24,'Task Tracker'!$H$2:$H$40,"Pending")+COUNTIFS('Task Tracker'!$B$2:$B$40,A24,'Task Tracker'!$H$2:$H$40,"In Progress")+COUNTIFS('Task Tracker'!$B$2:$B$40,A24,'Task Tracker'!$H$2:$H$40,"Blocked")+COUNTIFS('Task Tracker'!$B$2:$B$40,A24,'Task Tracker'!$H$2:$H$40,"Not Verified")</f>
        <v/>
      </c>
      <c r="S24" s="14">
        <f>COUNTIFS('Bug Tracker'!$B$2:$B$30,A24,'Bug Tracker'!$J$2:$J$30,"Open")+COUNTIFS('Bug Tracker'!$B$2:$B$30,A24,'Bug Tracker'!$J$2:$J$30,"In Progress")+COUNTIFS('Bug Tracker'!$B$2:$B$30,A24,'Bug Tracker'!$J$2:$J$30,"Reopened")+COUNTIFS('Bug Tracker'!$B$2:$B$30,A24,'Bug Tracker'!$J$2:$J$30,"Blocked")+COUNTIFS('Bug Tracker'!$B$2:$B$30,A24,'Bug Tracker'!$J$2:$J$30,"Ready for Verification")</f>
        <v/>
      </c>
      <c r="T24" s="14">
        <f>COUNTIFS('Release Blockers &amp; Risks'!$B$2:$B$30,A24,'Release Blockers &amp; Risks'!$I$2:$I$30,"Yes",'Release Blockers &amp; Risks'!$N$2:$N$30,"&lt;&gt;Closed")</f>
        <v/>
      </c>
      <c r="U24" s="14" t="n"/>
      <c r="V24" s="14" t="n"/>
    </row>
    <row r="26">
      <c r="A26" s="11" t="inlineStr">
        <is>
          <t>Weighting</t>
        </is>
      </c>
    </row>
    <row r="27" ht="48" customHeight="1">
      <c r="A27" s="8" t="inlineStr">
        <is>
          <t>Completion = (implementation points + integration points + testing points) / 100. Caps are 40, 30 and 30. A module is not given 30 testing points unless this audit's run showed no failures for that area. Overall project completion on the dashboard is the weight-weighted average of this column. It is provisional: placeholder screens are in the navigation, so they are in scope, but a full statutory ledger was not specified as a finished subsystem in code.</t>
        </is>
      </c>
    </row>
    <row r="28"/>
    <row r="29"/>
  </sheetData>
  <autoFilter ref="A1:V24"/>
  <mergeCells count="1">
    <mergeCell ref="A27:H29"/>
  </mergeCells>
  <conditionalFormatting sqref="I2:K24">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conditionalFormatting sqref="Q2:Q24">
    <cfRule type="expression" priority="22" dxfId="0">
      <formula>EXACT(A1,"Completed")</formula>
    </cfRule>
    <cfRule type="expression" priority="23" dxfId="0">
      <formula>EXACT(A1,"Passed")</formula>
    </cfRule>
    <cfRule type="expression" priority="24" dxfId="0">
      <formula>EXACT(A1,"Verified")</formula>
    </cfRule>
    <cfRule type="expression" priority="25" dxfId="0">
      <formula>EXACT(A1,"Yes")</formula>
    </cfRule>
    <cfRule type="expression" priority="26" dxfId="1">
      <formula>EXACT(A1,"In Progress")</formula>
    </cfRule>
    <cfRule type="expression" priority="27" dxfId="1">
      <formula>EXACT(A1,"Ready for Verification")</formula>
    </cfRule>
    <cfRule type="expression" priority="28" dxfId="1">
      <formula>EXACT(A1,"Pending")</formula>
    </cfRule>
    <cfRule type="expression" priority="29" dxfId="1">
      <formula>EXACT(A1,"Not Started")</formula>
    </cfRule>
    <cfRule type="expression" priority="30" dxfId="2">
      <formula>EXACT(A1,"Failed")</formula>
    </cfRule>
    <cfRule type="expression" priority="31" dxfId="2">
      <formula>EXACT(A1,"Blocked")</formula>
    </cfRule>
    <cfRule type="expression" priority="32" dxfId="2">
      <formula>EXACT(A1,"Open")</formula>
    </cfRule>
    <cfRule type="expression" priority="33" dxfId="2">
      <formula>EXACT(A1,"Critical")</formula>
    </cfRule>
    <cfRule type="expression" priority="34" dxfId="3">
      <formula>EXACT(A1,"High")</formula>
    </cfRule>
    <cfRule type="expression" priority="35" dxfId="4">
      <formula>EXACT(A1,"Not Verified")</formula>
    </cfRule>
    <cfRule type="expression" priority="36" dxfId="4">
      <formula>EXACT(A1,"Not Run")</formula>
    </cfRule>
    <cfRule type="expression" priority="37" dxfId="4">
      <formula>EXACT(A1,"Not Applicable")</formula>
    </cfRule>
    <cfRule type="expression" priority="38" dxfId="4">
      <formula>EXACT(A1,"Deferred")</formula>
    </cfRule>
    <cfRule type="expression" priority="39" dxfId="5">
      <formula>EXACT(A1,"Fixed")</formula>
    </cfRule>
    <cfRule type="expression" priority="40" dxfId="1">
      <formula>EXACT(A1,"Suspected")</formula>
    </cfRule>
    <cfRule type="expression" priority="41" dxfId="2">
      <formula>EXACT(A1,"Confirmed")</formula>
    </cfRule>
    <cfRule type="expression" priority="42" dxfId="4">
      <formula>EXACT(A1,"No")</formula>
    </cfRule>
  </conditionalFormatting>
  <dataValidations count="2">
    <dataValidation sqref="I2:I24" showDropDown="0" showInputMessage="0" showErrorMessage="0" allowBlank="0" errorTitle="Invalid status" error="Choose a value from the list." type="list">
      <formula1>=Lists!$A$1:$A$6</formula1>
    </dataValidation>
    <dataValidation sqref="Q2:Q24" showDropDown="0" showInputMessage="0" showErrorMessage="0" allowBlank="0" errorTitle="Invalid status" error="Choose a value from the list." type="list">
      <formula1>=Lists!$H$1:$H$4</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R21"/>
  <sheetViews>
    <sheetView showGridLines="0" zoomScale="11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42" customWidth="1" min="3" max="3"/>
    <col width="55" customWidth="1" min="4" max="4"/>
    <col width="16" customWidth="1" min="5" max="5"/>
    <col width="14" customWidth="1" min="6" max="6"/>
    <col width="36" customWidth="1" min="7" max="7"/>
    <col width="16" customWidth="1" min="8" max="8"/>
    <col width="14" customWidth="1" min="9" max="9"/>
    <col width="14" customWidth="1" min="10" max="10"/>
    <col width="14" customWidth="1" min="11" max="11"/>
    <col width="28" customWidth="1" min="12" max="12"/>
    <col width="36" customWidth="1" min="13" max="13"/>
    <col width="36" customWidth="1" min="14" max="14"/>
    <col width="40" customWidth="1" min="15" max="15"/>
    <col width="16" customWidth="1" min="16" max="16"/>
    <col width="22" customWidth="1" min="17" max="17"/>
    <col width="40" customWidth="1" min="18" max="18"/>
  </cols>
  <sheetData>
    <row r="1" ht="32" customHeight="1">
      <c r="A1" s="13" t="inlineStr">
        <is>
          <t>Task ID</t>
        </is>
      </c>
      <c r="B1" s="13" t="inlineStr">
        <is>
          <t>Module</t>
        </is>
      </c>
      <c r="C1" s="13" t="inlineStr">
        <is>
          <t>Task Title</t>
        </is>
      </c>
      <c r="D1" s="13" t="inlineStr">
        <is>
          <t>Detailed Description</t>
        </is>
      </c>
      <c r="E1" s="13" t="inlineStr">
        <is>
          <t>Task Type</t>
        </is>
      </c>
      <c r="F1" s="13" t="inlineStr">
        <is>
          <t>Priority</t>
        </is>
      </c>
      <c r="G1" s="13" t="inlineStr">
        <is>
          <t>Business Impact</t>
        </is>
      </c>
      <c r="H1" s="13" t="inlineStr">
        <is>
          <t>Status</t>
        </is>
      </c>
      <c r="I1" s="13" t="inlineStr">
        <is>
          <t>Estimated Hours</t>
        </is>
      </c>
      <c r="J1" s="13" t="inlineStr">
        <is>
          <t>Actual Hours</t>
        </is>
      </c>
      <c r="K1" s="13" t="inlineStr">
        <is>
          <t>Owner</t>
        </is>
      </c>
      <c r="L1" s="13" t="inlineStr">
        <is>
          <t>Dependencies</t>
        </is>
      </c>
      <c r="M1" s="13" t="inlineStr">
        <is>
          <t>Acceptance Criteria</t>
        </is>
      </c>
      <c r="N1" s="13" t="inlineStr">
        <is>
          <t>Verification Method</t>
        </is>
      </c>
      <c r="O1" s="13" t="inlineStr">
        <is>
          <t>Evidence</t>
        </is>
      </c>
      <c r="P1" s="13" t="inlineStr">
        <is>
          <t>Target Date</t>
        </is>
      </c>
      <c r="Q1" s="13" t="inlineStr">
        <is>
          <t>Delivery Criticality</t>
        </is>
      </c>
      <c r="R1" s="13" t="inlineStr">
        <is>
          <t>Remarks</t>
        </is>
      </c>
    </row>
    <row r="2" ht="48" customHeight="1">
      <c r="A2" s="14" t="inlineStr">
        <is>
          <t>T01</t>
        </is>
      </c>
      <c r="B2" s="14" t="inlineStr">
        <is>
          <t>M04</t>
        </is>
      </c>
      <c r="C2" s="14" t="inlineStr">
        <is>
          <t>Repair branch-brand coverage in automated flows</t>
        </is>
      </c>
      <c r="D2" s="14" t="inlineStr">
        <is>
          <t>65 tests fail because purchase-order create returns 400: the brand is not mapped to the branch. Decide whether fixtures must create the EntityBrand link, or whether the rule should not apply to those flows. Then re-run the suite.</t>
        </is>
      </c>
      <c r="E2" s="14" t="inlineStr">
        <is>
          <t>Bug Fix</t>
        </is>
      </c>
      <c r="F2" s="14" t="inlineStr">
        <is>
          <t>Critical</t>
        </is>
      </c>
      <c r="G2" s="14" t="inlineStr">
        <is>
          <t>The suite can no longer prove dispatch, invoice, payment, ledger or party-scope behaviour.</t>
        </is>
      </c>
      <c r="H2" s="14" t="inlineStr">
        <is>
          <t>Pending</t>
        </is>
      </c>
      <c r="I2" s="14" t="n">
        <v>8</v>
      </c>
      <c r="J2" s="14" t="n"/>
      <c r="K2" s="14" t="inlineStr">
        <is>
          <t>Unassigned</t>
        </is>
      </c>
      <c r="L2" s="14" t="inlineStr">
        <is>
          <t>None</t>
        </is>
      </c>
      <c r="M2" s="14" t="inlineStr">
        <is>
          <t>manage.py test reports 0 failures caused by brand-not-mapped.</t>
        </is>
      </c>
      <c r="N2" s="14" t="inlineStr">
        <is>
          <t>Re-run backend/purchase_orders, invoices, dispatches, payments, ledger, customers and accounts.tests_customer_scope.</t>
        </is>
      </c>
      <c r="O2" s="14" t="inlineStr">
        <is>
          <t>16 Oct 2026 suite: 66 failures, 65 with brand-not-mapped 400.</t>
        </is>
      </c>
      <c r="P2" s="18" t="n">
        <v>46311</v>
      </c>
      <c r="Q2" s="14" t="inlineStr">
        <is>
          <t>Release blocker</t>
        </is>
      </c>
      <c r="R2" s="14" t="inlineStr">
        <is>
          <t>Do not weaken the mapping rule only to make tests green unless the business rule is wrong.</t>
        </is>
      </c>
    </row>
    <row r="3" ht="48" customHeight="1">
      <c r="A3" s="16" t="inlineStr">
        <is>
          <t>T02</t>
        </is>
      </c>
      <c r="B3" s="16" t="inlineStr">
        <is>
          <t>M11</t>
        </is>
      </c>
      <c r="C3" s="16" t="inlineStr">
        <is>
          <t>Repair the OCM dispatch import golden mismatch</t>
        </is>
      </c>
      <c r="D3" s="16" t="inlineStr">
        <is>
          <t>test_golden_ocm_all_groups_preview_commit_and_rows failed because the preview payload and the commit payload are not the same shape.</t>
        </is>
      </c>
      <c r="E3" s="16" t="inlineStr">
        <is>
          <t>Bug Fix</t>
        </is>
      </c>
      <c r="F3" s="16" t="inlineStr">
        <is>
          <t>High</t>
        </is>
      </c>
      <c r="G3" s="16" t="inlineStr">
        <is>
          <t>A dispatch file can look acceptable in preview and then commit differently.</t>
        </is>
      </c>
      <c r="H3" s="16" t="inlineStr">
        <is>
          <t>Pending</t>
        </is>
      </c>
      <c r="I3" s="16" t="n">
        <v>4</v>
      </c>
      <c r="J3" s="16" t="n"/>
      <c r="K3" s="16" t="inlineStr">
        <is>
          <t>Unassigned</t>
        </is>
      </c>
      <c r="L3" s="16" t="inlineStr">
        <is>
          <t>T01</t>
        </is>
      </c>
      <c r="M3" s="16" t="inlineStr">
        <is>
          <t>The golden test passes without changing expected business totals by hand.</t>
        </is>
      </c>
      <c r="N3" s="16" t="inlineStr">
        <is>
          <t>Run dispatches.tests_import. The assertion compared preview and commit structures.</t>
        </is>
      </c>
      <c r="O3" s="16" t="inlineStr">
        <is>
          <t>FAIL line in the 16 Oct 2026 run.</t>
        </is>
      </c>
      <c r="P3" s="19" t="n">
        <v>46311</v>
      </c>
      <c r="Q3" s="16" t="inlineStr">
        <is>
          <t>Release blocker</t>
        </is>
      </c>
      <c r="R3" s="16" t="inlineStr">
        <is>
          <t>One failure. Separate from the 65 mapping failures.</t>
        </is>
      </c>
    </row>
    <row r="4" ht="48" customHeight="1">
      <c r="A4" s="14" t="inlineStr">
        <is>
          <t>T03</t>
        </is>
      </c>
      <c r="B4" s="14" t="inlineStr">
        <is>
          <t>M21</t>
        </is>
      </c>
      <c r="C4" s="14" t="inlineStr">
        <is>
          <t>Stop the year-end screen from pretending to close the year</t>
        </is>
      </c>
      <c r="D4" s="14" t="inlineStr">
        <is>
          <t>handleExecuteClosing accepts PIN 1984 or any PIN of at least 4 characters, writes a local audit line, and sets the header financial year to 2026-27. No server close runs.</t>
        </is>
      </c>
      <c r="E4" s="14" t="inlineStr">
        <is>
          <t>Bug Fix</t>
        </is>
      </c>
      <c r="F4" s="14" t="inlineStr">
        <is>
          <t>Critical</t>
        </is>
      </c>
      <c r="G4" s="14" t="inlineStr">
        <is>
          <t>The header year then filters purchase orders, invoices, payments and other lists. A false close changes what every page shows.</t>
        </is>
      </c>
      <c r="H4" s="14" t="inlineStr">
        <is>
          <t>Pending</t>
        </is>
      </c>
      <c r="I4" s="14" t="n">
        <v>4</v>
      </c>
      <c r="J4" s="14" t="n"/>
      <c r="K4" s="14" t="inlineStr">
        <is>
          <t>Unassigned</t>
        </is>
      </c>
      <c r="L4" s="14" t="inlineStr">
        <is>
          <t>None</t>
        </is>
      </c>
      <c r="M4" s="14" t="inlineStr">
        <is>
          <t>The screen cannot change the global year, and it does not say the books were closed.</t>
        </is>
      </c>
      <c r="N4" s="14" t="inlineStr">
        <is>
          <t>Code review of YearEndClosingScreen.tsx and a browser check that the header year stays unchanged.</t>
        </is>
      </c>
      <c r="O4" s="14" t="inlineStr">
        <is>
          <t>frontend/src/screens/admin/YearEndClosingScreen.tsx lines 17-26.</t>
        </is>
      </c>
      <c r="P4" s="18" t="n">
        <v>46311</v>
      </c>
      <c r="Q4" s="14" t="inlineStr">
        <is>
          <t>Release blocker</t>
        </is>
      </c>
      <c r="R4" s="14" t="inlineStr">
        <is>
          <t>Removing the screen from navigation is an acceptable release fix. Building a real close is not possible today.</t>
        </is>
      </c>
    </row>
    <row r="5" ht="48" customHeight="1">
      <c r="A5" s="16" t="inlineStr">
        <is>
          <t>T04</t>
        </is>
      </c>
      <c r="B5" s="16" t="inlineStr">
        <is>
          <t>M18</t>
        </is>
      </c>
      <c r="C5" s="16" t="inlineStr">
        <is>
          <t>Remove sample statutory screens from the release navigation</t>
        </is>
      </c>
      <c r="D5" s="16" t="inlineStr">
        <is>
          <t>Sales register, purchase register, trial balance, balance sheet, profit and loss, and bank/cash book render hard-coded sample rows. They do not call the reports API or ledger lines.</t>
        </is>
      </c>
      <c r="E5" s="16" t="inlineStr">
        <is>
          <t>Bug Fix</t>
        </is>
      </c>
      <c r="F5" s="16" t="inlineStr">
        <is>
          <t>High</t>
        </is>
      </c>
      <c r="G5" s="16" t="inlineStr">
        <is>
          <t>A reader can treat sample money figures as the company's books.</t>
        </is>
      </c>
      <c r="H5" s="16" t="inlineStr">
        <is>
          <t>Pending</t>
        </is>
      </c>
      <c r="I5" s="16" t="n">
        <v>6</v>
      </c>
      <c r="J5" s="16" t="n"/>
      <c r="K5" s="16" t="inlineStr">
        <is>
          <t>Unassigned</t>
        </is>
      </c>
      <c r="L5" s="16" t="inlineStr">
        <is>
          <t>None</t>
        </is>
      </c>
      <c r="M5" s="16" t="inlineStr">
        <is>
          <t>Those screens are not reachable in the release build, or they are labelled sample and show no amounts.</t>
        </is>
      </c>
      <c r="N5" s="16" t="inlineStr">
        <is>
          <t>Search the screens for hard-coded arrays and confirm the navigation no longer opens them.</t>
        </is>
      </c>
      <c r="O5" s="16" t="inlineStr">
        <is>
          <t>TrialBalanceScreen.tsx and SalesRegisterScreen.tsx.</t>
        </is>
      </c>
      <c r="P5" s="19" t="n">
        <v>46311</v>
      </c>
      <c r="Q5" s="16" t="inlineStr">
        <is>
          <t>Release blocker</t>
        </is>
      </c>
      <c r="R5" s="16" t="inlineStr">
        <is>
          <t>Building real statutory books is out of today's capacity. Hiding the screens is the safe scope.</t>
        </is>
      </c>
    </row>
    <row r="6" ht="48" customHeight="1">
      <c r="A6" s="14" t="inlineStr">
        <is>
          <t>T05</t>
        </is>
      </c>
      <c r="B6" s="14" t="inlineStr">
        <is>
          <t>M19</t>
        </is>
      </c>
      <c r="C6" s="14" t="inlineStr">
        <is>
          <t>Remove sample voucher and order-form screens from navigation</t>
        </is>
      </c>
      <c r="D6" s="14" t="inlineStr">
        <is>
          <t>Bank receipt, cash receipt, payment voucher, credit note, debit note, material return and order form keep local sample state. transactions tables are not used by those screens.</t>
        </is>
      </c>
      <c r="E6" s="14" t="inlineStr">
        <is>
          <t>Bug Fix</t>
        </is>
      </c>
      <c r="F6" s="14" t="inlineStr">
        <is>
          <t>High</t>
        </is>
      </c>
      <c r="G6" s="14" t="inlineStr">
        <is>
          <t>Users can believe a voucher was posted when nothing was saved.</t>
        </is>
      </c>
      <c r="H6" s="14" t="inlineStr">
        <is>
          <t>Pending</t>
        </is>
      </c>
      <c r="I6" s="14" t="n">
        <v>6</v>
      </c>
      <c r="J6" s="14" t="n"/>
      <c r="K6" s="14" t="inlineStr">
        <is>
          <t>Unassigned</t>
        </is>
      </c>
      <c r="L6" s="14" t="inlineStr">
        <is>
          <t>None</t>
        </is>
      </c>
      <c r="M6" s="14" t="inlineStr">
        <is>
          <t>The screens are not in the release navigation, or they state that they do not post.</t>
        </is>
      </c>
      <c r="N6" s="14" t="inlineStr">
        <is>
          <t>Confirm no Api import remains and the icon rail does not open them.</t>
        </is>
      </c>
      <c r="O6" s="14" t="inlineStr">
        <is>
          <t>BankReceiptVoucherScreen.tsx has no API calls. OrderFormScreen.tsx initialises ordersList locally.</t>
        </is>
      </c>
      <c r="P6" s="18" t="n">
        <v>46311</v>
      </c>
      <c r="Q6" s="14" t="inlineStr">
        <is>
          <t>Release blocker</t>
        </is>
      </c>
      <c r="R6" s="14" t="inlineStr">
        <is>
          <t>Same treatment as the statutory screens.</t>
        </is>
      </c>
    </row>
    <row r="7" ht="48" customHeight="1">
      <c r="A7" s="16" t="inlineStr">
        <is>
          <t>T06</t>
        </is>
      </c>
      <c r="B7" s="16" t="inlineStr">
        <is>
          <t>M21</t>
        </is>
      </c>
      <c r="C7" s="16" t="inlineStr">
        <is>
          <t>Remove the simulated backup screen</t>
        </is>
      </c>
      <c r="D7" s="16" t="inlineStr">
        <is>
          <t>BackupScreen keeps a local list and animates success. It does not dump or copy the database.</t>
        </is>
      </c>
      <c r="E7" s="16" t="inlineStr">
        <is>
          <t>Bug Fix</t>
        </is>
      </c>
      <c r="F7" s="16" t="inlineStr">
        <is>
          <t>High</t>
        </is>
      </c>
      <c r="G7" s="16" t="inlineStr">
        <is>
          <t>An operator can believe a backup exists.</t>
        </is>
      </c>
      <c r="H7" s="16" t="inlineStr">
        <is>
          <t>Pending</t>
        </is>
      </c>
      <c r="I7" s="16" t="n">
        <v>2</v>
      </c>
      <c r="J7" s="16" t="n"/>
      <c r="K7" s="16" t="inlineStr">
        <is>
          <t>Unassigned</t>
        </is>
      </c>
      <c r="L7" s="16" t="inlineStr">
        <is>
          <t>T09</t>
        </is>
      </c>
      <c r="M7" s="16" t="inlineStr">
        <is>
          <t>The screen is gone or it only tells the operator that backup is a manual database operation.</t>
        </is>
      </c>
      <c r="N7" s="16" t="inlineStr">
        <is>
          <t>Read BackupScreen.tsx and confirm no file is written.</t>
        </is>
      </c>
      <c r="O7" s="16" t="inlineStr">
        <is>
          <t>frontend/src/screens/admin/BackupScreen.tsx</t>
        </is>
      </c>
      <c r="P7" s="19" t="n">
        <v>46311</v>
      </c>
      <c r="Q7" s="16" t="inlineStr">
        <is>
          <t>Release blocker</t>
        </is>
      </c>
      <c r="R7" s="16" t="inlineStr"/>
    </row>
    <row r="8" ht="48" customHeight="1">
      <c r="A8" s="14" t="inlineStr">
        <is>
          <t>T07</t>
        </is>
      </c>
      <c r="B8" s="14" t="inlineStr">
        <is>
          <t>M09</t>
        </is>
      </c>
      <c r="C8" s="14" t="inlineStr">
        <is>
          <t>Build the OCM PDF price-list import</t>
        </is>
      </c>
      <c r="D8" s="14" t="inlineStr">
        <is>
          <t>BrandQualityPrice and the price-list source columns exist. There is no preview endpoint, no commit endpoint, no second text extraction, and no UI step.</t>
        </is>
      </c>
      <c r="E8" s="14" t="inlineStr">
        <is>
          <t>Development</t>
        </is>
      </c>
      <c r="F8" s="14" t="inlineStr">
        <is>
          <t>High</t>
        </is>
      </c>
      <c r="G8" s="14" t="inlineStr">
        <is>
          <t>Summer 2026 and Winter 2025 PDF prices cannot be loaded or used on a purchase order.</t>
        </is>
      </c>
      <c r="H8" s="14" t="inlineStr">
        <is>
          <t>Pending</t>
        </is>
      </c>
      <c r="I8" s="14" t="n">
        <v>24</v>
      </c>
      <c r="J8" s="14" t="n"/>
      <c r="K8" s="14" t="inlineStr">
        <is>
          <t>Unassigned</t>
        </is>
      </c>
      <c r="L8" s="14" t="inlineStr">
        <is>
          <t>Approved schema, which is already migrated</t>
        </is>
      </c>
      <c r="M8" s="14" t="inlineStr">
        <is>
          <t>Preview and commit match a text-layer extract, and purchase-order rate lookup follows the approved rules.</t>
        </is>
      </c>
      <c r="N8" s="14" t="inlineStr">
        <is>
          <t>New tests plus a skipped golden test when the real PDFs are present.</t>
        </is>
      </c>
      <c r="O8" s="14" t="inlineStr">
        <is>
          <t>models.py BrandQualityPrice; no import-pdf route in price_lists.</t>
        </is>
      </c>
      <c r="P8" s="18" t="n">
        <v>46312</v>
      </c>
      <c r="Q8" s="14" t="inlineStr">
        <is>
          <t>Not finishable today</t>
        </is>
      </c>
      <c r="R8" s="14" t="inlineStr">
        <is>
          <t>Leave this out of today's release scope.</t>
        </is>
      </c>
    </row>
    <row r="9" ht="48" customHeight="1">
      <c r="A9" s="16" t="inlineStr">
        <is>
          <t>T08</t>
        </is>
      </c>
      <c r="B9" s="16" t="inlineStr">
        <is>
          <t>M22</t>
        </is>
      </c>
      <c r="C9" s="16" t="inlineStr">
        <is>
          <t>Point the audit screen at the server trail</t>
        </is>
      </c>
      <c r="D9" s="16" t="inlineStr">
        <is>
          <t>The screen filters ErpContext auditLogs. The export control only shows a toast. /api/auth/audit-trail exists and is unused by the screen.</t>
        </is>
      </c>
      <c r="E9" s="16" t="inlineStr">
        <is>
          <t>Integration</t>
        </is>
      </c>
      <c r="F9" s="16" t="inlineStr">
        <is>
          <t>Medium</t>
        </is>
      </c>
      <c r="G9" s="16" t="inlineStr">
        <is>
          <t>The forensic screen does not show the server audit.</t>
        </is>
      </c>
      <c r="H9" s="16" t="inlineStr">
        <is>
          <t>Pending</t>
        </is>
      </c>
      <c r="I9" s="16" t="n">
        <v>4</v>
      </c>
      <c r="J9" s="16" t="n"/>
      <c r="K9" s="16" t="inlineStr">
        <is>
          <t>Unassigned</t>
        </is>
      </c>
      <c r="L9" s="16" t="inlineStr">
        <is>
          <t>None</t>
        </is>
      </c>
      <c r="M9" s="16" t="inlineStr">
        <is>
          <t>The screen lists server audit rows for the signed-in admin and does not offer a fake signed export.</t>
        </is>
      </c>
      <c r="N9" s="16" t="inlineStr">
        <is>
          <t>Call the audit endpoint and compare the screen.</t>
        </is>
      </c>
      <c r="O9" s="16" t="inlineStr">
        <is>
          <t>AuditLogScreen.tsx</t>
        </is>
      </c>
      <c r="P9" s="19" t="n">
        <v>46312</v>
      </c>
      <c r="Q9" s="16" t="inlineStr">
        <is>
          <t>Not finishable as a full feature today</t>
        </is>
      </c>
      <c r="R9" s="16" t="inlineStr"/>
    </row>
    <row r="10" ht="48" customHeight="1">
      <c r="A10" s="14" t="inlineStr">
        <is>
          <t>T09</t>
        </is>
      </c>
      <c r="B10" s="14" t="inlineStr">
        <is>
          <t>M21</t>
        </is>
      </c>
      <c r="C10" s="14" t="inlineStr">
        <is>
          <t>Confirm a database backup before any further migration</t>
        </is>
      </c>
      <c r="D10" s="14" t="inlineStr">
        <is>
          <t>Migrations 0010 and price_lists 0003 were applied on 15 Oct 2026. This audit did not see a backup file or a restore test.</t>
        </is>
      </c>
      <c r="E10" s="14" t="inlineStr">
        <is>
          <t>Database</t>
        </is>
      </c>
      <c r="F10" s="14" t="inlineStr">
        <is>
          <t>Critical</t>
        </is>
      </c>
      <c r="G10" s="14" t="inlineStr">
        <is>
          <t>There is no demonstrated way back if a later migration is wrong.</t>
        </is>
      </c>
      <c r="H10" s="14" t="inlineStr">
        <is>
          <t>Not Verified</t>
        </is>
      </c>
      <c r="I10" s="14" t="n">
        <v>2</v>
      </c>
      <c r="J10" s="14" t="n"/>
      <c r="K10" s="14" t="inlineStr">
        <is>
          <t>Unassigned</t>
        </is>
      </c>
      <c r="L10" s="14" t="inlineStr">
        <is>
          <t>Database owner</t>
        </is>
      </c>
      <c r="M10" s="14" t="inlineStr">
        <is>
          <t>A backup file name, time and restore note are recorded outside this workbook. Do not paste secrets.</t>
        </is>
      </c>
      <c r="N10" s="14" t="inlineStr">
        <is>
          <t>Operator confirms the backup. This audit cannot verify a file that was not provided.</t>
        </is>
      </c>
      <c r="O10" s="14" t="inlineStr">
        <is>
          <t>showmigrations listed no unapplied migrations. Backup command was not run.</t>
        </is>
      </c>
      <c r="P10" s="18" t="n">
        <v>46311</v>
      </c>
      <c r="Q10" s="14" t="inlineStr">
        <is>
          <t>Release blocker</t>
        </is>
      </c>
      <c r="R10" s="14" t="inlineStr">
        <is>
          <t>Assumption: nobody has confirmed a backup to this audit.</t>
        </is>
      </c>
    </row>
    <row r="11" ht="48" customHeight="1">
      <c r="A11" s="16" t="inlineStr">
        <is>
          <t>T10</t>
        </is>
      </c>
      <c r="B11" s="16" t="inlineStr">
        <is>
          <t>M01</t>
        </is>
      </c>
      <c r="C11" s="16" t="inlineStr">
        <is>
          <t>Review production settings without printing secrets</t>
        </is>
      </c>
      <c r="D11" s="16" t="inlineStr">
        <is>
          <t>DEBUG defaults to true when DJANGO_DEBUG is unset. An empty DJANGO_SECRET_KEY is replaced by a dev-only key when DEBUG is true. ALLOWED_HOSTS become * when DEBUG is true.</t>
        </is>
      </c>
      <c r="E11" s="16" t="inlineStr">
        <is>
          <t>Security</t>
        </is>
      </c>
      <c r="F11" s="16" t="inlineStr">
        <is>
          <t>High</t>
        </is>
      </c>
      <c r="G11" s="16" t="inlineStr">
        <is>
          <t>A production process started with defaults would run in debug with a known key.</t>
        </is>
      </c>
      <c r="H11" s="16" t="inlineStr">
        <is>
          <t>Not Verified</t>
        </is>
      </c>
      <c r="I11" s="16" t="n">
        <v>4</v>
      </c>
      <c r="J11" s="16" t="n"/>
      <c r="K11" s="16" t="inlineStr">
        <is>
          <t>Unassigned</t>
        </is>
      </c>
      <c r="L11" s="16" t="inlineStr">
        <is>
          <t>Deployment host</t>
        </is>
      </c>
      <c r="M11" s="16" t="inlineStr">
        <is>
          <t>The host process has DJANGO_DEBUG false and a secret key that is not in git. Values must not be copied into this workbook.</t>
        </is>
      </c>
      <c r="N11" s="16" t="inlineStr">
        <is>
          <t>Inspect the service environment names only.</t>
        </is>
      </c>
      <c r="O11" s="16" t="inlineStr">
        <is>
          <t>backend/config/settings.py lines 10-18 and 134-142.</t>
        </is>
      </c>
      <c r="P11" s="19" t="n">
        <v>46311</v>
      </c>
      <c r="Q11" s="16" t="inlineStr">
        <is>
          <t>Release blocker</t>
        </is>
      </c>
      <c r="R11" s="16" t="inlineStr">
        <is>
          <t>Suspected until the host environment is inspected. .env is gitignored and was not read.</t>
        </is>
      </c>
    </row>
    <row r="12" ht="48" customHeight="1">
      <c r="A12" s="14" t="inlineStr">
        <is>
          <t>T11</t>
        </is>
      </c>
      <c r="B12" s="14" t="inlineStr">
        <is>
          <t>M10</t>
        </is>
      </c>
      <c r="C12" s="14" t="inlineStr">
        <is>
          <t>Review the uncommitted working tree before any release tag</t>
        </is>
      </c>
      <c r="D12" s="14" t="inlineStr">
        <is>
          <t>Branch fix/rename-repair at c326fdf. git diff --stat reported 103 files changed, 4090 insertions and 1084 deletions. git status --porcelain had 131 lines.</t>
        </is>
      </c>
      <c r="E12" s="14" t="inlineStr">
        <is>
          <t>Deployment</t>
        </is>
      </c>
      <c r="F12" s="14" t="inlineStr">
        <is>
          <t>Critical</t>
        </is>
      </c>
      <c r="G12" s="14" t="inlineStr">
        <is>
          <t>What is running is not the last commit. A release tag would not match the working tree.</t>
        </is>
      </c>
      <c r="H12" s="14" t="inlineStr">
        <is>
          <t>Pending</t>
        </is>
      </c>
      <c r="I12" s="14" t="n">
        <v>8</v>
      </c>
      <c r="J12" s="14" t="n"/>
      <c r="K12" s="14" t="inlineStr">
        <is>
          <t>Unassigned</t>
        </is>
      </c>
      <c r="L12" s="14" t="inlineStr">
        <is>
          <t>T01</t>
        </is>
      </c>
      <c r="M12" s="14" t="inlineStr">
        <is>
          <t>The released commit contains only reviewed files. Generated caches and local databases are not included.</t>
        </is>
      </c>
      <c r="N12" s="14" t="inlineStr">
        <is>
          <t>git status and a human review. This audit did not commit.</t>
        </is>
      </c>
      <c r="O12" s="14" t="inlineStr">
        <is>
          <t>git status and git diff --stat on 16 Oct 2026.</t>
        </is>
      </c>
      <c r="P12" s="18" t="n">
        <v>46311</v>
      </c>
      <c r="Q12" s="14" t="inlineStr">
        <is>
          <t>Release blocker</t>
        </is>
      </c>
      <c r="R12" s="14" t="inlineStr">
        <is>
          <t>Do not commit from this audit.</t>
        </is>
      </c>
    </row>
    <row r="13" ht="48" customHeight="1">
      <c r="A13" s="16" t="inlineStr">
        <is>
          <t>T12</t>
        </is>
      </c>
      <c r="B13" s="16" t="inlineStr">
        <is>
          <t>M11</t>
        </is>
      </c>
      <c r="C13" s="16" t="inlineStr">
        <is>
          <t>Re-run the backend suite after T01 and T02</t>
        </is>
      </c>
      <c r="D13" s="16" t="inlineStr">
        <is>
          <t>The 16 Oct 2026 run is the baseline: 264 tests, 198 passed, 66 failed, exit code 1.</t>
        </is>
      </c>
      <c r="E13" s="16" t="inlineStr">
        <is>
          <t>Testing</t>
        </is>
      </c>
      <c r="F13" s="16" t="inlineStr">
        <is>
          <t>Critical</t>
        </is>
      </c>
      <c r="G13" s="16" t="inlineStr">
        <is>
          <t>No later change is known to be safe until this is green for the trading flow.</t>
        </is>
      </c>
      <c r="H13" s="16" t="inlineStr">
        <is>
          <t>Pending</t>
        </is>
      </c>
      <c r="I13" s="16" t="n">
        <v>2</v>
      </c>
      <c r="J13" s="16" t="n"/>
      <c r="K13" s="16" t="inlineStr">
        <is>
          <t>Unassigned</t>
        </is>
      </c>
      <c r="L13" s="16" t="inlineStr">
        <is>
          <t>T01, T02</t>
        </is>
      </c>
      <c r="M13" s="16" t="inlineStr">
        <is>
          <t>Exit code 0, or a written list of remaining failures with owners.</t>
        </is>
      </c>
      <c r="N13" s="16" t="inlineStr">
        <is>
          <t>python manage.py test from backend/.venv.</t>
        </is>
      </c>
      <c r="O13" s="16" t="inlineStr">
        <is>
          <t>Terminal 39737.</t>
        </is>
      </c>
      <c r="P13" s="19" t="n">
        <v>46311</v>
      </c>
      <c r="Q13" s="16" t="inlineStr">
        <is>
          <t>Release blocker</t>
        </is>
      </c>
      <c r="R13" s="16" t="inlineStr"/>
    </row>
    <row r="14" ht="48" customHeight="1">
      <c r="A14" s="14" t="inlineStr">
        <is>
          <t>T13</t>
        </is>
      </c>
      <c r="B14" s="14" t="inlineStr">
        <is>
          <t>M06</t>
        </is>
      </c>
      <c r="C14" s="14" t="inlineStr">
        <is>
          <t>Run the frontend component tests that have no npm script</t>
        </is>
      </c>
      <c r="D14" s="14" t="inlineStr">
        <is>
          <t>package.json lint is tsc --noEmit. There is no npm test script. PurchaseOrderPipeline.test.tsx and other frontend tests were not executed.</t>
        </is>
      </c>
      <c r="E14" s="14" t="inlineStr">
        <is>
          <t>Testing</t>
        </is>
      </c>
      <c r="F14" s="14" t="inlineStr">
        <is>
          <t>Medium</t>
        </is>
      </c>
      <c r="G14" s="14" t="inlineStr">
        <is>
          <t>Typecheck does not prove screen behaviour.</t>
        </is>
      </c>
      <c r="H14" s="14" t="inlineStr">
        <is>
          <t>Not Verified</t>
        </is>
      </c>
      <c r="I14" s="14" t="n">
        <v>3</v>
      </c>
      <c r="J14" s="14" t="n"/>
      <c r="K14" s="14" t="inlineStr">
        <is>
          <t>Unassigned</t>
        </is>
      </c>
      <c r="L14" s="14" t="inlineStr">
        <is>
          <t>None</t>
        </is>
      </c>
      <c r="M14" s="14" t="inlineStr">
        <is>
          <t>The existing frontend tests are executed and their pass or fail count is recorded.</t>
        </is>
      </c>
      <c r="N14" s="14" t="inlineStr">
        <is>
          <t>Add a script only if asked. This audit must not change application code, so they stay Not Run.</t>
        </is>
      </c>
      <c r="O14" s="14" t="inlineStr">
        <is>
          <t>frontend/package.json scripts.</t>
        </is>
      </c>
      <c r="P14" s="18" t="n">
        <v>46312</v>
      </c>
      <c r="Q14" s="14" t="inlineStr">
        <is>
          <t>Not a code defect</t>
        </is>
      </c>
      <c r="R14" s="14" t="inlineStr"/>
    </row>
    <row r="15" ht="48" customHeight="1">
      <c r="A15" s="16" t="inlineStr">
        <is>
          <t>T14</t>
        </is>
      </c>
      <c r="B15" s="16" t="inlineStr">
        <is>
          <t>M16</t>
        </is>
      </c>
      <c r="C15" s="16" t="inlineStr">
        <is>
          <t>Exercise the header year and month on one trading screen</t>
        </is>
      </c>
      <c r="D15" s="16" t="inlineStr">
        <is>
          <t>The header period is stored and operational lists send that date range. dateFilters.test.ts passed. No browser pass confirmed a list changing with the header.</t>
        </is>
      </c>
      <c r="E15" s="16" t="inlineStr">
        <is>
          <t>Testing</t>
        </is>
      </c>
      <c r="F15" s="16" t="inlineStr">
        <is>
          <t>Medium</t>
        </is>
      </c>
      <c r="G15" s="16" t="inlineStr">
        <is>
          <t>A wrong period would hide or show the wrong documents.</t>
        </is>
      </c>
      <c r="H15" s="16" t="inlineStr">
        <is>
          <t>Not Verified</t>
        </is>
      </c>
      <c r="I15" s="16" t="n">
        <v>2</v>
      </c>
      <c r="J15" s="16" t="n"/>
      <c r="K15" s="16" t="inlineStr">
        <is>
          <t>Unassigned</t>
        </is>
      </c>
      <c r="L15" s="16" t="inlineStr">
        <is>
          <t>None</t>
        </is>
      </c>
      <c r="M15" s="16" t="inlineStr">
        <is>
          <t>Changing FY in the header changes the purchase-order or invoice rows to that range only.</t>
        </is>
      </c>
      <c r="N15" s="16" t="inlineStr">
        <is>
          <t>Browser check against a known document date.</t>
        </is>
      </c>
      <c r="O15" s="16" t="inlineStr">
        <is>
          <t>frontend/src/utils/dateFilters.ts and the list screens edited on 16 Oct 2026.</t>
        </is>
      </c>
      <c r="P15" s="19" t="n">
        <v>46311</v>
      </c>
      <c r="Q15" s="16" t="inlineStr">
        <is>
          <t>Should be checked before demo</t>
        </is>
      </c>
      <c r="R15" s="16" t="inlineStr"/>
    </row>
    <row r="16" ht="48" customHeight="1">
      <c r="A16" s="14" t="inlineStr">
        <is>
          <t>T15</t>
        </is>
      </c>
      <c r="B16" s="14" t="inlineStr">
        <is>
          <t>M17</t>
        </is>
      </c>
      <c r="C16" s="14" t="inlineStr">
        <is>
          <t>Document the bad-debt report gap</t>
        </is>
      </c>
      <c r="D16" s="14" t="inlineStr">
        <is>
          <t>reports/services.py says bad-debt totals are not populated until a write-off module exists.</t>
        </is>
      </c>
      <c r="E16" s="14" t="inlineStr">
        <is>
          <t>Documentation</t>
        </is>
      </c>
      <c r="F16" s="14" t="inlineStr">
        <is>
          <t>Low</t>
        </is>
      </c>
      <c r="G16" s="14" t="inlineStr">
        <is>
          <t>That one report is empty by design.</t>
        </is>
      </c>
      <c r="H16" s="14" t="inlineStr">
        <is>
          <t>Deferred</t>
        </is>
      </c>
      <c r="I16" s="14" t="n">
        <v>1</v>
      </c>
      <c r="J16" s="14" t="n"/>
      <c r="K16" s="14" t="inlineStr">
        <is>
          <t>Unassigned</t>
        </is>
      </c>
      <c r="L16" s="14" t="inlineStr">
        <is>
          <t>A write-off module, which does not exist</t>
        </is>
      </c>
      <c r="M16" s="14" t="inlineStr">
        <is>
          <t>The report label says it is not fed by write-offs.</t>
        </is>
      </c>
      <c r="N16" s="14" t="inlineStr">
        <is>
          <t>Read the service TODO.</t>
        </is>
      </c>
      <c r="O16" s="14" t="inlineStr">
        <is>
          <t>backend/reports/services.py line 215.</t>
        </is>
      </c>
      <c r="P16" s="18" t="n">
        <v>46326</v>
      </c>
      <c r="Q16" s="14" t="inlineStr">
        <is>
          <t>Not in today's scope</t>
        </is>
      </c>
      <c r="R16" s="14" t="inlineStr"/>
    </row>
    <row r="17" ht="48" customHeight="1">
      <c r="A17" s="16" t="inlineStr">
        <is>
          <t>T16</t>
        </is>
      </c>
      <c r="B17" s="16" t="inlineStr">
        <is>
          <t>M08</t>
        </is>
      </c>
      <c r="C17" s="16" t="inlineStr">
        <is>
          <t>Excel price-list import is in the tree and its tests did not fail</t>
        </is>
      </c>
      <c r="D17" s="16" t="inlineStr">
        <is>
          <t>Recorded so the tracker contains finished work as well as gaps. This is not a claim that PDF import exists.</t>
        </is>
      </c>
      <c r="E17" s="16" t="inlineStr">
        <is>
          <t>Development</t>
        </is>
      </c>
      <c r="F17" s="16" t="inlineStr">
        <is>
          <t>Medium</t>
        </is>
      </c>
      <c r="G17" s="16" t="inlineStr">
        <is>
          <t>Excel price lists can be imported in test.</t>
        </is>
      </c>
      <c r="H17" s="16" t="inlineStr">
        <is>
          <t>Completed</t>
        </is>
      </c>
      <c r="I17" s="16" t="n">
        <v>0</v>
      </c>
      <c r="J17" s="16" t="n"/>
      <c r="K17" s="16" t="inlineStr">
        <is>
          <t>Unassigned</t>
        </is>
      </c>
      <c r="L17" s="16" t="inlineStr">
        <is>
          <t>None</t>
        </is>
      </c>
      <c r="M17" s="16" t="inlineStr">
        <is>
          <t>price_lists tests produced no FAIL lines on 16 Oct 2026.</t>
        </is>
      </c>
      <c r="N17" s="16" t="inlineStr">
        <is>
          <t>Already executed in the full suite.</t>
        </is>
      </c>
      <c r="O17" s="16" t="inlineStr">
        <is>
          <t>No FAIL lines for price_lists.</t>
        </is>
      </c>
      <c r="P17" s="19" t="n">
        <v>46311</v>
      </c>
      <c r="Q17" s="16" t="inlineStr">
        <is>
          <t>Done for Excel only</t>
        </is>
      </c>
      <c r="R17" s="16" t="inlineStr">
        <is>
          <t>Actual hours were not recorded.</t>
        </is>
      </c>
    </row>
    <row r="18" ht="48" customHeight="1">
      <c r="A18" s="14" t="inlineStr">
        <is>
          <t>T17</t>
        </is>
      </c>
      <c r="B18" s="14" t="inlineStr">
        <is>
          <t>M16</t>
        </is>
      </c>
      <c r="C18" s="14" t="inlineStr">
        <is>
          <t>Frontend typecheck and production build succeeded</t>
        </is>
      </c>
      <c r="D18" s="14" t="inlineStr">
        <is>
          <t>npm run lint is tsc --noEmit and exited 0. npm run build exited 0 in 25.67 seconds with a chunk-size warning.</t>
        </is>
      </c>
      <c r="E18" s="14" t="inlineStr">
        <is>
          <t>Testing</t>
        </is>
      </c>
      <c r="F18" s="14" t="inlineStr">
        <is>
          <t>High</t>
        </is>
      </c>
      <c r="G18" s="14" t="inlineStr">
        <is>
          <t>The UI compiles and builds. That does not clear the test failures.</t>
        </is>
      </c>
      <c r="H18" s="14" t="inlineStr">
        <is>
          <t>Completed</t>
        </is>
      </c>
      <c r="I18" s="14" t="n">
        <v>0</v>
      </c>
      <c r="J18" s="14" t="n"/>
      <c r="K18" s="14" t="inlineStr">
        <is>
          <t>Unassigned</t>
        </is>
      </c>
      <c r="L18" s="14" t="inlineStr">
        <is>
          <t>None</t>
        </is>
      </c>
      <c r="M18" s="14" t="inlineStr">
        <is>
          <t>Both commands exit 0.</t>
        </is>
      </c>
      <c r="N18" s="14" t="inlineStr">
        <is>
          <t>Already executed.</t>
        </is>
      </c>
      <c r="O18" s="14" t="inlineStr">
        <is>
          <t>Terminal output 16 Oct 2026.</t>
        </is>
      </c>
      <c r="P18" s="18" t="n">
        <v>46311</v>
      </c>
      <c r="Q18" s="14" t="inlineStr">
        <is>
          <t>Done</t>
        </is>
      </c>
      <c r="R18" s="14" t="inlineStr">
        <is>
          <t>The JavaScript bundle is 1,567 kB. That is a warning, not a failed build.</t>
        </is>
      </c>
    </row>
    <row r="19" ht="48" customHeight="1">
      <c r="A19" s="16" t="inlineStr">
        <is>
          <t>T18</t>
        </is>
      </c>
      <c r="B19" s="16" t="inlineStr">
        <is>
          <t>M03</t>
        </is>
      </c>
      <c r="C19" s="16" t="inlineStr">
        <is>
          <t>Django system check and migration scan</t>
        </is>
      </c>
      <c r="D19" s="16" t="inlineStr">
        <is>
          <t>manage.py check reported no issues. showmigrations --plan filtered for unapplied lines returned none.</t>
        </is>
      </c>
      <c r="E19" s="16" t="inlineStr">
        <is>
          <t>Database</t>
        </is>
      </c>
      <c r="F19" s="16" t="inlineStr">
        <is>
          <t>High</t>
        </is>
      </c>
      <c r="G19" s="16" t="inlineStr">
        <is>
          <t>The code's migrations match the database that was checked. This is not a backup.</t>
        </is>
      </c>
      <c r="H19" s="16" t="inlineStr">
        <is>
          <t>Completed</t>
        </is>
      </c>
      <c r="I19" s="16" t="n">
        <v>0</v>
      </c>
      <c r="J19" s="16" t="n"/>
      <c r="K19" s="16" t="inlineStr">
        <is>
          <t>Unassigned</t>
        </is>
      </c>
      <c r="L19" s="16" t="inlineStr">
        <is>
          <t>None</t>
        </is>
      </c>
      <c r="M19" s="16" t="inlineStr">
        <is>
          <t>check exit 0 and no unapplied plan lines.</t>
        </is>
      </c>
      <c r="N19" s="16" t="inlineStr">
        <is>
          <t>Already executed.</t>
        </is>
      </c>
      <c r="O19" s="16" t="inlineStr">
        <is>
          <t>16 Oct 2026 command output.</t>
        </is>
      </c>
      <c r="P19" s="19" t="n">
        <v>46311</v>
      </c>
      <c r="Q19" s="16" t="inlineStr">
        <is>
          <t>Done</t>
        </is>
      </c>
      <c r="R19" s="16" t="inlineStr"/>
    </row>
    <row r="21">
      <c r="H21" s="11" t="inlineStr">
        <is>
          <t>Open hours</t>
        </is>
      </c>
      <c r="I21">
        <f>SUMIF(H2:H19,"&lt;&gt;Completed",I2:I19)</f>
        <v/>
      </c>
    </row>
  </sheetData>
  <autoFilter ref="A1:R19"/>
  <conditionalFormatting sqref="F2:F19">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conditionalFormatting sqref="H2:H19">
    <cfRule type="expression" priority="22" dxfId="0">
      <formula>EXACT(A1,"Completed")</formula>
    </cfRule>
    <cfRule type="expression" priority="23" dxfId="0">
      <formula>EXACT(A1,"Passed")</formula>
    </cfRule>
    <cfRule type="expression" priority="24" dxfId="0">
      <formula>EXACT(A1,"Verified")</formula>
    </cfRule>
    <cfRule type="expression" priority="25" dxfId="0">
      <formula>EXACT(A1,"Yes")</formula>
    </cfRule>
    <cfRule type="expression" priority="26" dxfId="1">
      <formula>EXACT(A1,"In Progress")</formula>
    </cfRule>
    <cfRule type="expression" priority="27" dxfId="1">
      <formula>EXACT(A1,"Ready for Verification")</formula>
    </cfRule>
    <cfRule type="expression" priority="28" dxfId="1">
      <formula>EXACT(A1,"Pending")</formula>
    </cfRule>
    <cfRule type="expression" priority="29" dxfId="1">
      <formula>EXACT(A1,"Not Started")</formula>
    </cfRule>
    <cfRule type="expression" priority="30" dxfId="2">
      <formula>EXACT(A1,"Failed")</formula>
    </cfRule>
    <cfRule type="expression" priority="31" dxfId="2">
      <formula>EXACT(A1,"Blocked")</formula>
    </cfRule>
    <cfRule type="expression" priority="32" dxfId="2">
      <formula>EXACT(A1,"Open")</formula>
    </cfRule>
    <cfRule type="expression" priority="33" dxfId="2">
      <formula>EXACT(A1,"Critical")</formula>
    </cfRule>
    <cfRule type="expression" priority="34" dxfId="3">
      <formula>EXACT(A1,"High")</formula>
    </cfRule>
    <cfRule type="expression" priority="35" dxfId="4">
      <formula>EXACT(A1,"Not Verified")</formula>
    </cfRule>
    <cfRule type="expression" priority="36" dxfId="4">
      <formula>EXACT(A1,"Not Run")</formula>
    </cfRule>
    <cfRule type="expression" priority="37" dxfId="4">
      <formula>EXACT(A1,"Not Applicable")</formula>
    </cfRule>
    <cfRule type="expression" priority="38" dxfId="4">
      <formula>EXACT(A1,"Deferred")</formula>
    </cfRule>
    <cfRule type="expression" priority="39" dxfId="5">
      <formula>EXACT(A1,"Fixed")</formula>
    </cfRule>
    <cfRule type="expression" priority="40" dxfId="1">
      <formula>EXACT(A1,"Suspected")</formula>
    </cfRule>
    <cfRule type="expression" priority="41" dxfId="2">
      <formula>EXACT(A1,"Confirmed")</formula>
    </cfRule>
    <cfRule type="expression" priority="42" dxfId="4">
      <formula>EXACT(A1,"No")</formula>
    </cfRule>
  </conditionalFormatting>
  <dataValidations count="2">
    <dataValidation sqref="F2:F19" showDropDown="0" showInputMessage="0" showErrorMessage="0" allowBlank="0" errorTitle="Invalid status" error="Choose a value from the list." type="list">
      <formula1>=Lists!$B$1:$B$5</formula1>
    </dataValidation>
    <dataValidation sqref="H2:H19" showDropDown="0" showInputMessage="0" showErrorMessage="0" allowBlank="0" errorTitle="Invalid status" error="Choose a value from the list." type="list">
      <formula1>=Lists!$A$1:$A$6</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9"/>
  <sheetViews>
    <sheetView showGridLines="0" zoomScale="11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42" customWidth="1" min="3" max="3"/>
    <col width="48" customWidth="1" min="4" max="4"/>
    <col width="36" customWidth="1" min="5" max="5"/>
    <col width="36" customWidth="1" min="6" max="6"/>
    <col width="40" customWidth="1" min="7" max="7"/>
    <col width="14" customWidth="1" min="8" max="8"/>
    <col width="14" customWidth="1" min="9" max="9"/>
    <col width="24" customWidth="1" min="10" max="10"/>
    <col width="36" customWidth="1" min="11" max="11"/>
    <col width="36" customWidth="1" min="12" max="12"/>
    <col width="14" customWidth="1" min="13" max="13"/>
    <col width="14" customWidth="1" min="14" max="14"/>
    <col width="14" customWidth="1" min="15" max="15"/>
    <col width="28" customWidth="1" min="16" max="16"/>
    <col width="36" customWidth="1" min="17" max="17"/>
    <col width="16" customWidth="1" min="18" max="18"/>
    <col width="16" customWidth="1" min="19" max="19"/>
    <col width="36" customWidth="1" min="20" max="20"/>
  </cols>
  <sheetData>
    <row r="1" ht="32" customHeight="1">
      <c r="A1" s="13" t="inlineStr">
        <is>
          <t>Bug ID</t>
        </is>
      </c>
      <c r="B1" s="13" t="inlineStr">
        <is>
          <t>Module</t>
        </is>
      </c>
      <c r="C1" s="13" t="inlineStr">
        <is>
          <t>Bug Title</t>
        </is>
      </c>
      <c r="D1" s="13" t="inlineStr">
        <is>
          <t>Description</t>
        </is>
      </c>
      <c r="E1" s="13" t="inlineStr">
        <is>
          <t>Reproduction Steps</t>
        </is>
      </c>
      <c r="F1" s="13" t="inlineStr">
        <is>
          <t>Expected Result</t>
        </is>
      </c>
      <c r="G1" s="13" t="inlineStr">
        <is>
          <t>Actual Result</t>
        </is>
      </c>
      <c r="H1" s="13" t="inlineStr">
        <is>
          <t>Severity</t>
        </is>
      </c>
      <c r="I1" s="13" t="inlineStr">
        <is>
          <t>Priority</t>
        </is>
      </c>
      <c r="J1" s="13" t="inlineStr">
        <is>
          <t>Status</t>
        </is>
      </c>
      <c r="K1" s="13" t="inlineStr">
        <is>
          <t>Root Cause</t>
        </is>
      </c>
      <c r="L1" s="13" t="inlineStr">
        <is>
          <t>Proposed Fix</t>
        </is>
      </c>
      <c r="M1" s="13" t="inlineStr">
        <is>
          <t>Owner</t>
        </is>
      </c>
      <c r="N1" s="13" t="inlineStr">
        <is>
          <t>Estimated Fix Hours</t>
        </is>
      </c>
      <c r="O1" s="13" t="inlineStr">
        <is>
          <t>Related Task ID</t>
        </is>
      </c>
      <c r="P1" s="13" t="inlineStr">
        <is>
          <t>Regression Test</t>
        </is>
      </c>
      <c r="Q1" s="13" t="inlineStr">
        <is>
          <t>Verification Evidence</t>
        </is>
      </c>
      <c r="R1" s="13" t="inlineStr">
        <is>
          <t>Date Identified</t>
        </is>
      </c>
      <c r="S1" s="13" t="inlineStr">
        <is>
          <t>Target Fix Date</t>
        </is>
      </c>
      <c r="T1" s="13" t="inlineStr">
        <is>
          <t>Remarks</t>
        </is>
      </c>
    </row>
    <row r="2" ht="48" customHeight="1">
      <c r="A2" s="14" t="inlineStr">
        <is>
          <t>B01</t>
        </is>
      </c>
      <c r="B2" s="14" t="inlineStr">
        <is>
          <t>M04</t>
        </is>
      </c>
      <c r="C2" s="14" t="inlineStr">
        <is>
          <t>Purchase-order create rejects brands that are not mapped to the branch</t>
        </is>
      </c>
      <c r="D2" s="14" t="inlineStr">
        <is>
          <t>Creating a purchase order for a brand that is not linked to the selected branch returns HTTP 400. Sixty-five automated tests fail on this response before they can test dispatch, invoice, payment or ledger behaviour.</t>
        </is>
      </c>
      <c r="E2" s="14" t="inlineStr">
        <is>
          <t>Run python manage.py test from backend with the project virtualenv. Inspect any FAIL whose body contains brand_id and not mapped to branch.</t>
        </is>
      </c>
      <c r="F2" s="14" t="inlineStr">
        <is>
          <t>Either the fixture brands are mapped and the later assertions run, or the product rule is documented and the tests are updated on purpose.</t>
        </is>
      </c>
      <c r="G2" s="14" t="inlineStr">
        <is>
          <t>400 with messages such as Brand Payment Mills is not mapped to branch Gujarat Payments. Counts: payments 15, accounts 13, invoices 16 of which most are this setup error, dispatches 8, ledger 7, customers 3, notifications 2, plus one purchase-order import case for OCM 2 and Aditi.</t>
        </is>
      </c>
      <c r="H2" s="14" t="inlineStr">
        <is>
          <t>High</t>
        </is>
      </c>
      <c r="I2" s="14" t="inlineStr">
        <is>
          <t>Critical</t>
        </is>
      </c>
      <c r="J2" s="14" t="inlineStr">
        <is>
          <t>Open</t>
        </is>
      </c>
      <c r="K2" s="14" t="inlineStr">
        <is>
          <t>Entity-brand mapping is enforced. The automated fixtures still create a brand and a branch that are not linked.</t>
        </is>
      </c>
      <c r="L2" s="14" t="inlineStr">
        <is>
          <t>Link the fixture brand to the fixture branch, then re-run. Do not remove the check unless the business rule is withdrawn.</t>
        </is>
      </c>
      <c r="M2" s="14" t="inlineStr">
        <is>
          <t>Unassigned</t>
        </is>
      </c>
      <c r="N2" s="14" t="n">
        <v>8</v>
      </c>
      <c r="O2" s="14" t="inlineStr">
        <is>
          <t>T01</t>
        </is>
      </c>
      <c r="P2" s="14" t="inlineStr">
        <is>
          <t>Full backend suite</t>
        </is>
      </c>
      <c r="Q2" s="14" t="inlineStr">
        <is>
          <t>16 Oct 2026: 66 failures, 65 of this message family.</t>
        </is>
      </c>
      <c r="R2" s="18" t="n">
        <v>46311</v>
      </c>
      <c r="S2" s="18" t="n">
        <v>46311</v>
      </c>
      <c r="T2" s="14" t="inlineStr">
        <is>
          <t>Not marked Critical because the live rule may be correct. It is a release blocker because the trading tests no longer prove the flows.</t>
        </is>
      </c>
    </row>
    <row r="3" ht="48" customHeight="1">
      <c r="A3" s="16" t="inlineStr">
        <is>
          <t>B02</t>
        </is>
      </c>
      <c r="B3" s="16" t="inlineStr">
        <is>
          <t>M11</t>
        </is>
      </c>
      <c r="C3" s="16" t="inlineStr">
        <is>
          <t>OCM dispatch import preview and commit do not match</t>
        </is>
      </c>
      <c r="D3" s="16" t="inlineStr">
        <is>
          <t>The golden all-groups test compares the preview structure with the commit structure and they differ.</t>
        </is>
      </c>
      <c r="E3" s="16" t="inlineStr">
        <is>
          <t>Run dispatches import tests, specifically test_golden_ocm_all_groups_preview_commit_and_rows.</t>
        </is>
      </c>
      <c r="F3" s="16" t="inlineStr">
        <is>
          <t>Commit persists the same groups the preview showed.</t>
        </is>
      </c>
      <c r="G3" s="16" t="inlineStr">
        <is>
          <t>AssertionError comparing a preview dict with a commit dict. The log shows a long structural mismatch, not a brand-mapping 400.</t>
        </is>
      </c>
      <c r="H3" s="16" t="inlineStr">
        <is>
          <t>High</t>
        </is>
      </c>
      <c r="I3" s="16" t="inlineStr">
        <is>
          <t>High</t>
        </is>
      </c>
      <c r="J3" s="16" t="inlineStr">
        <is>
          <t>Open</t>
        </is>
      </c>
      <c r="K3" s="16" t="inlineStr">
        <is>
          <t>Not isolated beyond the failing assertion in this audit.</t>
        </is>
      </c>
      <c r="L3" s="16" t="inlineStr">
        <is>
          <t>Compare the two payloads in that test and make commit follow the preview contract.</t>
        </is>
      </c>
      <c r="M3" s="16" t="inlineStr">
        <is>
          <t>Unassigned</t>
        </is>
      </c>
      <c r="N3" s="16" t="n">
        <v>4</v>
      </c>
      <c r="O3" s="16" t="inlineStr">
        <is>
          <t>T02</t>
        </is>
      </c>
      <c r="P3" s="16" t="inlineStr">
        <is>
          <t>dispatches.tests_import golden test</t>
        </is>
      </c>
      <c r="Q3" s="16" t="inlineStr">
        <is>
          <t>Single FAIL line on 16 Oct 2026.</t>
        </is>
      </c>
      <c r="R3" s="19" t="n">
        <v>46311</v>
      </c>
      <c r="S3" s="19" t="n">
        <v>46311</v>
      </c>
      <c r="T3" s="16" t="inlineStr">
        <is>
          <t>Confirmed test failure. The business numbers inside the mismatch were not re-derived in this audit.</t>
        </is>
      </c>
    </row>
    <row r="4" ht="48" customHeight="1">
      <c r="A4" s="14" t="inlineStr">
        <is>
          <t>B03</t>
        </is>
      </c>
      <c r="B4" s="14" t="inlineStr">
        <is>
          <t>M21</t>
        </is>
      </c>
      <c r="C4" s="14" t="inlineStr">
        <is>
          <t>Year-end screen reports a close that does not happen</t>
        </is>
      </c>
      <c r="D4" s="14" t="inlineStr">
        <is>
          <t>The close handler checks the PIN with: reject only when the PIN is not 1984 and its length is under 4. Any longer PIN passes. It then sets the header financial year to 2026-27 and shows a success message.</t>
        </is>
      </c>
      <c r="E4" s="14" t="inlineStr">
        <is>
          <t>Open screen 10, enter any 4-character PIN, and confirm.</t>
        </is>
      </c>
      <c r="F4" s="14" t="inlineStr">
        <is>
          <t>A real close would be refused or performed on the server. The header year would not change as a side effect of a fake close.</t>
        </is>
      </c>
      <c r="G4" s="14" t="inlineStr">
        <is>
          <t>The handler sets confirmed close, writes a local audit line, shows a flash, and calls setFinancialYear('2026-27').</t>
        </is>
      </c>
      <c r="H4" s="14" t="inlineStr">
        <is>
          <t>Critical</t>
        </is>
      </c>
      <c r="I4" s="14" t="inlineStr">
        <is>
          <t>Critical</t>
        </is>
      </c>
      <c r="J4" s="14" t="inlineStr">
        <is>
          <t>Open</t>
        </is>
      </c>
      <c r="K4" s="14" t="inlineStr">
        <is>
          <t>The screen was written as a local demonstration. The condition is the wrong way around for a strict PIN check.</t>
        </is>
      </c>
      <c r="L4" s="14" t="inlineStr">
        <is>
          <t>Remove the screen from navigation or make it explain that no close is posted, and do not change the header year.</t>
        </is>
      </c>
      <c r="M4" s="14" t="inlineStr">
        <is>
          <t>Unassigned</t>
        </is>
      </c>
      <c r="N4" s="14" t="n">
        <v>4</v>
      </c>
      <c r="O4" s="14" t="inlineStr">
        <is>
          <t>T03</t>
        </is>
      </c>
      <c r="P4" s="14" t="inlineStr">
        <is>
          <t>Code inspection. No automated test covers this screen.</t>
        </is>
      </c>
      <c r="Q4" s="14" t="inlineStr">
        <is>
          <t>YearEndClosingScreen.tsx handleExecuteClosing.</t>
        </is>
      </c>
      <c r="R4" s="18" t="n">
        <v>46311</v>
      </c>
      <c r="S4" s="18" t="n">
        <v>46311</v>
      </c>
      <c r="T4" s="14" t="inlineStr">
        <is>
          <t>Confirmed by reading the source. Not executed in the browser during this audit. Severity is Critical because the header year filters live lists.</t>
        </is>
      </c>
    </row>
    <row r="5" ht="48" customHeight="1">
      <c r="A5" s="16" t="inlineStr">
        <is>
          <t>B04</t>
        </is>
      </c>
      <c r="B5" s="16" t="inlineStr">
        <is>
          <t>M18</t>
        </is>
      </c>
      <c r="C5" s="16" t="inlineStr">
        <is>
          <t>Statutory screens display sample books</t>
        </is>
      </c>
      <c r="D5" s="16" t="inlineStr">
        <is>
          <t>Trial balance, balance sheet, profit and loss, sales register, purchase register, and bank/cash book ship with hard-coded sample rows.</t>
        </is>
      </c>
      <c r="E5" s="16" t="inlineStr">
        <is>
          <t>Open screens 29, 30, 32, 33, 34 or 35.</t>
        </is>
      </c>
      <c r="F5" s="16" t="inlineStr">
        <is>
          <t>Figures come from posted ledger lines for the header period, or the screen is absent.</t>
        </is>
      </c>
      <c r="G5" s="16" t="inlineStr">
        <is>
          <t>The components initialise local arrays. They do not call the reports API.</t>
        </is>
      </c>
      <c r="H5" s="16" t="inlineStr">
        <is>
          <t>High</t>
        </is>
      </c>
      <c r="I5" s="16" t="inlineStr">
        <is>
          <t>High</t>
        </is>
      </c>
      <c r="J5" s="16" t="inlineStr">
        <is>
          <t>Open</t>
        </is>
      </c>
      <c r="K5" s="16" t="inlineStr">
        <is>
          <t>The screens were built as static layouts. LedgerLine exists but is not read here.</t>
        </is>
      </c>
      <c r="L5" s="16" t="inlineStr">
        <is>
          <t>Remove them from the release navigation until they read posted data.</t>
        </is>
      </c>
      <c r="M5" s="16" t="inlineStr">
        <is>
          <t>Unassigned</t>
        </is>
      </c>
      <c r="N5" s="16" t="n">
        <v>6</v>
      </c>
      <c r="O5" s="16" t="inlineStr">
        <is>
          <t>T04</t>
        </is>
      </c>
      <c r="P5" s="16" t="inlineStr">
        <is>
          <t>Source inspection.</t>
        </is>
      </c>
      <c r="Q5" s="16" t="inlineStr">
        <is>
          <t>TrialBalanceScreen.tsx and SalesRegisterScreen.tsx.</t>
        </is>
      </c>
      <c r="R5" s="19" t="n">
        <v>46311</v>
      </c>
      <c r="S5" s="19" t="n">
        <v>46311</v>
      </c>
      <c r="T5" s="16" t="inlineStr">
        <is>
          <t>Confirmed. Sample party names in those files are demo text, not a live customer extract, and are not copied into this workbook.</t>
        </is>
      </c>
    </row>
    <row r="6" ht="48" customHeight="1">
      <c r="A6" s="14" t="inlineStr">
        <is>
          <t>B05</t>
        </is>
      </c>
      <c r="B6" s="14" t="inlineStr">
        <is>
          <t>M19</t>
        </is>
      </c>
      <c r="C6" s="14" t="inlineStr">
        <is>
          <t>Voucher and order-form screens do not post</t>
        </is>
      </c>
      <c r="D6" s="14" t="inlineStr">
        <is>
          <t>The voucher, note, material-return and order-form screens keep local state. The transactions tables are unused by those screens.</t>
        </is>
      </c>
      <c r="E6" s="14" t="inlineStr">
        <is>
          <t>Open screens 13-15, 17-20 or the order form and try to save.</t>
        </is>
      </c>
      <c r="F6" s="14" t="inlineStr">
        <is>
          <t>A posted voucher or order exists in the database, or the screen is not offered.</t>
        </is>
      </c>
      <c r="G6" s="14" t="inlineStr">
        <is>
          <t>No API client calls were found in the bank-receipt or credit/debit screens. Order form initialises a local list.</t>
        </is>
      </c>
      <c r="H6" s="14" t="inlineStr">
        <is>
          <t>High</t>
        </is>
      </c>
      <c r="I6" s="14" t="inlineStr">
        <is>
          <t>High</t>
        </is>
      </c>
      <c r="J6" s="14" t="inlineStr">
        <is>
          <t>Open</t>
        </is>
      </c>
      <c r="K6" s="14" t="inlineStr">
        <is>
          <t>UI prototypes were routed beside the live purchase-order flow.</t>
        </is>
      </c>
      <c r="L6" s="14" t="inlineStr">
        <is>
          <t>Remove them from navigation for this release.</t>
        </is>
      </c>
      <c r="M6" s="14" t="inlineStr">
        <is>
          <t>Unassigned</t>
        </is>
      </c>
      <c r="N6" s="14" t="n">
        <v>6</v>
      </c>
      <c r="O6" s="14" t="inlineStr">
        <is>
          <t>T05</t>
        </is>
      </c>
      <c r="P6" s="14" t="inlineStr">
        <is>
          <t>Source inspection.</t>
        </is>
      </c>
      <c r="Q6" s="14" t="inlineStr">
        <is>
          <t>BankReceiptVoucherScreen.tsx, CreditDebitNoteScreen.tsx, OrderFormScreen.tsx.</t>
        </is>
      </c>
      <c r="R6" s="18" t="n">
        <v>46311</v>
      </c>
      <c r="S6" s="18" t="n">
        <v>46311</v>
      </c>
      <c r="T6" s="14" t="inlineStr"/>
    </row>
    <row r="7" ht="48" customHeight="1">
      <c r="A7" s="16" t="inlineStr">
        <is>
          <t>B06</t>
        </is>
      </c>
      <c r="B7" s="16" t="inlineStr">
        <is>
          <t>M21</t>
        </is>
      </c>
      <c r="C7" s="16" t="inlineStr">
        <is>
          <t>Backup screen reports a snapshot it did not take</t>
        </is>
      </c>
      <c r="D7" s="16" t="inlineStr">
        <is>
          <t>The screen stores a local array of backup names and animates progress.</t>
        </is>
      </c>
      <c r="E7" s="16" t="inlineStr">
        <is>
          <t>Open screen 9 and start a backup.</t>
        </is>
      </c>
      <c r="F7" s="16" t="inlineStr">
        <is>
          <t>A real database backup is created, or the action is not offered.</t>
        </is>
      </c>
      <c r="G7" s="16" t="inlineStr">
        <is>
          <t>State updates only. No backup command is run.</t>
        </is>
      </c>
      <c r="H7" s="16" t="inlineStr">
        <is>
          <t>High</t>
        </is>
      </c>
      <c r="I7" s="16" t="inlineStr">
        <is>
          <t>High</t>
        </is>
      </c>
      <c r="J7" s="16" t="inlineStr">
        <is>
          <t>Open</t>
        </is>
      </c>
      <c r="K7" s="16" t="inlineStr">
        <is>
          <t>Demonstration UI.</t>
        </is>
      </c>
      <c r="L7" s="16" t="inlineStr">
        <is>
          <t>Remove the screen.</t>
        </is>
      </c>
      <c r="M7" s="16" t="inlineStr">
        <is>
          <t>Unassigned</t>
        </is>
      </c>
      <c r="N7" s="16" t="n">
        <v>2</v>
      </c>
      <c r="O7" s="16" t="inlineStr">
        <is>
          <t>T06</t>
        </is>
      </c>
      <c r="P7" s="16" t="inlineStr">
        <is>
          <t>Source inspection.</t>
        </is>
      </c>
      <c r="Q7" s="16" t="inlineStr">
        <is>
          <t>BackupScreen.tsx</t>
        </is>
      </c>
      <c r="R7" s="19" t="n">
        <v>46311</v>
      </c>
      <c r="S7" s="19" t="n">
        <v>46311</v>
      </c>
      <c r="T7" s="16" t="inlineStr"/>
    </row>
    <row r="8" ht="48" customHeight="1">
      <c r="A8" s="14" t="inlineStr">
        <is>
          <t>B07</t>
        </is>
      </c>
      <c r="B8" s="14" t="inlineStr">
        <is>
          <t>M22</t>
        </is>
      </c>
      <c r="C8" s="14" t="inlineStr">
        <is>
          <t>Audit screen is not the server audit trail</t>
        </is>
      </c>
      <c r="D8" s="14" t="inlineStr">
        <is>
          <t>The forensic screen filters in-memory context logs. Its export control shows a toast instead of a file.</t>
        </is>
      </c>
      <c r="E8" s="14" t="inlineStr">
        <is>
          <t>Sign in as admin, create a server audit event, open screen 8.</t>
        </is>
      </c>
      <c r="F8" s="14" t="inlineStr">
        <is>
          <t>The new server row appears.</t>
        </is>
      </c>
      <c r="G8" s="14" t="inlineStr">
        <is>
          <t>The screen never requests /api/auth/audit-trail. This was not clicked in this audit, so the runtime result is code-inspected.</t>
        </is>
      </c>
      <c r="H8" s="14" t="inlineStr">
        <is>
          <t>Medium</t>
        </is>
      </c>
      <c r="I8" s="14" t="inlineStr">
        <is>
          <t>Medium</t>
        </is>
      </c>
      <c r="J8" s="14" t="inlineStr">
        <is>
          <t>Open</t>
        </is>
      </c>
      <c r="K8" s="14" t="inlineStr">
        <is>
          <t>The screen was wired to context state.</t>
        </is>
      </c>
      <c r="L8" s="14" t="inlineStr">
        <is>
          <t>Read the API. Remove the fake export.</t>
        </is>
      </c>
      <c r="M8" s="14" t="inlineStr">
        <is>
          <t>Unassigned</t>
        </is>
      </c>
      <c r="N8" s="14" t="n">
        <v>4</v>
      </c>
      <c r="O8" s="14" t="inlineStr">
        <is>
          <t>T08</t>
        </is>
      </c>
      <c r="P8" s="14" t="inlineStr">
        <is>
          <t>Source inspection. Not a failed automated test.</t>
        </is>
      </c>
      <c r="Q8" s="14" t="inlineStr">
        <is>
          <t>AuditLogScreen.tsx</t>
        </is>
      </c>
      <c r="R8" s="18" t="n">
        <v>46311</v>
      </c>
      <c r="S8" s="18" t="n">
        <v>46312</v>
      </c>
      <c r="T8" s="14" t="inlineStr">
        <is>
          <t>Suspected at runtime until someone opens the screen. The missing API call is confirmed in source.</t>
        </is>
      </c>
    </row>
    <row r="9" ht="48" customHeight="1">
      <c r="A9" s="16" t="inlineStr">
        <is>
          <t>B08</t>
        </is>
      </c>
      <c r="B9" s="16" t="inlineStr">
        <is>
          <t>M16</t>
        </is>
      </c>
      <c r="C9" s="16" t="inlineStr">
        <is>
          <t>Dashboard failed when rate_source was not in the database</t>
        </is>
      </c>
      <c r="D9" s="16" t="inlineStr">
        <is>
          <t>On 15 Oct 2026 GET /api/dashboards/admin/ returned 500: unknown column purchase_orders_purchaseorderline.rate_source.</t>
        </is>
      </c>
      <c r="E9" s="16" t="inlineStr">
        <is>
          <t>Load the dashboard before migration 0010.</t>
        </is>
      </c>
      <c r="F9" s="16" t="inlineStr">
        <is>
          <t>The dashboard loads.</t>
        </is>
      </c>
      <c r="G9" s="16" t="inlineStr">
        <is>
          <t>The column was missing. Migrations purchase_orders.0010 and price_lists.0003 were applied on 15 Oct 2026. This audit did not reload the dashboard.</t>
        </is>
      </c>
      <c r="H9" s="16" t="inlineStr">
        <is>
          <t>High</t>
        </is>
      </c>
      <c r="I9" s="16" t="inlineStr">
        <is>
          <t>High</t>
        </is>
      </c>
      <c r="J9" s="16" t="inlineStr">
        <is>
          <t>Ready for Verification</t>
        </is>
      </c>
      <c r="K9" s="16" t="inlineStr">
        <is>
          <t>Model field shipped before the migration was applied.</t>
        </is>
      </c>
      <c r="L9" s="16" t="inlineStr">
        <is>
          <t>Reload the dashboard once and record the HTTP status.</t>
        </is>
      </c>
      <c r="M9" s="16" t="inlineStr">
        <is>
          <t>Unassigned</t>
        </is>
      </c>
      <c r="N9" s="16" t="n">
        <v>0.5</v>
      </c>
      <c r="O9" s="16" t="inlineStr">
        <is>
          <t>T14</t>
        </is>
      </c>
      <c r="P9" s="16" t="inlineStr">
        <is>
          <t>dashboards.tests had no FAIL lines on 16 Oct 2026. Browser reload was not done.</t>
        </is>
      </c>
      <c r="Q9" s="16" t="inlineStr">
        <is>
          <t>Terminal log 15 Oct 2026 17:00 and migrate output the same day.</t>
        </is>
      </c>
      <c r="R9" s="19" t="n">
        <v>46310</v>
      </c>
      <c r="S9" s="19" t="n">
        <v>46311</v>
      </c>
      <c r="T9" s="16" t="inlineStr">
        <is>
          <t>Not Verified. Do not mark Verified from the migration command alone.</t>
        </is>
      </c>
    </row>
  </sheetData>
  <autoFilter ref="A1:T9"/>
  <conditionalFormatting sqref="H2:J9">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dataValidations count="2">
    <dataValidation sqref="H2:H9" showDropDown="0" showInputMessage="0" showErrorMessage="0" allowBlank="0" errorTitle="Invalid status" error="Choose a value from the list." type="list">
      <formula1>=Lists!$B$1:$B$5</formula1>
    </dataValidation>
    <dataValidation sqref="J2:J9" showDropDown="0" showInputMessage="0" showErrorMessage="0" allowBlank="0" errorTitle="Invalid status" error="Choose a value from the list." type="list">
      <formula1>=Lists!$C$1:$C$8</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21"/>
  <sheetViews>
    <sheetView showGridLines="0" zoomScale="11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28" customWidth="1" min="3" max="3"/>
    <col width="42" customWidth="1" min="4" max="4"/>
    <col width="32" customWidth="1" min="5" max="5"/>
    <col width="36" customWidth="1" min="6" max="6"/>
    <col width="48" customWidth="1" min="7" max="7"/>
    <col width="16" customWidth="1" min="8" max="8"/>
    <col width="16" customWidth="1" min="9" max="9"/>
    <col width="28" customWidth="1" min="10" max="10"/>
    <col width="16" customWidth="1" min="11" max="11"/>
    <col width="36" customWidth="1" min="12" max="12"/>
    <col width="40" customWidth="1" min="13" max="13"/>
  </cols>
  <sheetData>
    <row r="1" ht="32" customHeight="1">
      <c r="A1" s="13" t="inlineStr">
        <is>
          <t>Test ID</t>
        </is>
      </c>
      <c r="B1" s="13" t="inlineStr">
        <is>
          <t>Module</t>
        </is>
      </c>
      <c r="C1" s="13" t="inlineStr">
        <is>
          <t>Test Category</t>
        </is>
      </c>
      <c r="D1" s="13" t="inlineStr">
        <is>
          <t>Test Scenario</t>
        </is>
      </c>
      <c r="E1" s="13" t="inlineStr">
        <is>
          <t>Preconditions</t>
        </is>
      </c>
      <c r="F1" s="13" t="inlineStr">
        <is>
          <t>Expected Result</t>
        </is>
      </c>
      <c r="G1" s="13" t="inlineStr">
        <is>
          <t>Actual Result</t>
        </is>
      </c>
      <c r="H1" s="13" t="inlineStr">
        <is>
          <t>Test Status</t>
        </is>
      </c>
      <c r="I1" s="13" t="inlineStr">
        <is>
          <t>Execution Date</t>
        </is>
      </c>
      <c r="J1" s="13" t="inlineStr">
        <is>
          <t>Environment</t>
        </is>
      </c>
      <c r="K1" s="13" t="inlineStr">
        <is>
          <t>Related Bug ID</t>
        </is>
      </c>
      <c r="L1" s="13" t="inlineStr">
        <is>
          <t>Evidence / Log Reference</t>
        </is>
      </c>
      <c r="M1" s="13" t="inlineStr">
        <is>
          <t>Notes</t>
        </is>
      </c>
    </row>
    <row r="2" ht="48" customHeight="1">
      <c r="A2" s="14" t="inlineStr">
        <is>
          <t>QA01</t>
        </is>
      </c>
      <c r="B2" s="14" t="inlineStr">
        <is>
          <t>M16</t>
        </is>
      </c>
      <c r="C2" s="14" t="inlineStr">
        <is>
          <t>Django system check</t>
        </is>
      </c>
      <c r="D2" s="14" t="inlineStr">
        <is>
          <t>python manage.py check</t>
        </is>
      </c>
      <c r="E2" s="14" t="inlineStr">
        <is>
          <t>Project virtualenv, backend directory</t>
        </is>
      </c>
      <c r="F2" s="14" t="inlineStr">
        <is>
          <t>No issues</t>
        </is>
      </c>
      <c r="G2" s="14" t="inlineStr">
        <is>
          <t>System check identified no issues (0 silenced). Exit 0.</t>
        </is>
      </c>
      <c r="H2" s="14" t="inlineStr">
        <is>
          <t>Passed</t>
        </is>
      </c>
      <c r="I2" s="18" t="n">
        <v>46311</v>
      </c>
      <c r="J2" s="14" t="inlineStr">
        <is>
          <t>Local Windows, backend/.venv</t>
        </is>
      </c>
      <c r="K2" s="14" t="inlineStr"/>
      <c r="L2" s="14" t="inlineStr">
        <is>
          <t>16 Oct 2026 check command</t>
        </is>
      </c>
      <c r="M2" s="14" t="inlineStr"/>
    </row>
    <row r="3" ht="48" customHeight="1">
      <c r="A3" s="16" t="inlineStr">
        <is>
          <t>QA02</t>
        </is>
      </c>
      <c r="B3" s="16" t="inlineStr">
        <is>
          <t>M03</t>
        </is>
      </c>
      <c r="C3" s="16" t="inlineStr">
        <is>
          <t>Database migrations</t>
        </is>
      </c>
      <c r="D3" s="16" t="inlineStr">
        <is>
          <t>showmigrations --plan filtered for unapplied lines</t>
        </is>
      </c>
      <c r="E3" s="16" t="inlineStr">
        <is>
          <t>Same environment</t>
        </is>
      </c>
      <c r="F3" s="16" t="inlineStr">
        <is>
          <t>No unapplied migrations</t>
        </is>
      </c>
      <c r="G3" s="16" t="inlineStr">
        <is>
          <t>The filter printed no unapplied lines. Exit 0.</t>
        </is>
      </c>
      <c r="H3" s="16" t="inlineStr">
        <is>
          <t>Passed</t>
        </is>
      </c>
      <c r="I3" s="19" t="n">
        <v>46311</v>
      </c>
      <c r="J3" s="16" t="inlineStr">
        <is>
          <t>Local Windows, backend/.venv</t>
        </is>
      </c>
      <c r="K3" s="16" t="inlineStr"/>
      <c r="L3" s="16" t="inlineStr">
        <is>
          <t>16 Oct 2026</t>
        </is>
      </c>
      <c r="M3" s="16" t="inlineStr">
        <is>
          <t>This does not prove a backup exists.</t>
        </is>
      </c>
    </row>
    <row r="4" ht="48" customHeight="1">
      <c r="A4" s="14" t="inlineStr">
        <is>
          <t>QA03</t>
        </is>
      </c>
      <c r="B4" s="14" t="inlineStr">
        <is>
          <t>M06</t>
        </is>
      </c>
      <c r="C4" s="14" t="inlineStr">
        <is>
          <t>Frontend typecheck</t>
        </is>
      </c>
      <c r="D4" s="14" t="inlineStr">
        <is>
          <t>npm run lint (tsc --noEmit)</t>
        </is>
      </c>
      <c r="E4" s="14" t="inlineStr">
        <is>
          <t>frontend directory</t>
        </is>
      </c>
      <c r="F4" s="14" t="inlineStr">
        <is>
          <t>Exit 0</t>
        </is>
      </c>
      <c r="G4" s="14" t="inlineStr">
        <is>
          <t>Exit 0. No type errors printed.</t>
        </is>
      </c>
      <c r="H4" s="14" t="inlineStr">
        <is>
          <t>Passed</t>
        </is>
      </c>
      <c r="I4" s="18" t="n">
        <v>46311</v>
      </c>
      <c r="J4" s="14" t="inlineStr">
        <is>
          <t>Local Windows, frontend npm</t>
        </is>
      </c>
      <c r="K4" s="14" t="inlineStr"/>
      <c r="L4" s="14" t="inlineStr">
        <is>
          <t>16 Oct 2026 lint</t>
        </is>
      </c>
      <c r="M4" s="14" t="inlineStr">
        <is>
          <t>The script name is lint. It is the typecheck.</t>
        </is>
      </c>
    </row>
    <row r="5" ht="48" customHeight="1">
      <c r="A5" s="16" t="inlineStr">
        <is>
          <t>QA04</t>
        </is>
      </c>
      <c r="B5" s="16" t="inlineStr">
        <is>
          <t>M06</t>
        </is>
      </c>
      <c r="C5" s="16" t="inlineStr">
        <is>
          <t>Production build</t>
        </is>
      </c>
      <c r="D5" s="16" t="inlineStr">
        <is>
          <t>npm run build</t>
        </is>
      </c>
      <c r="E5" s="16" t="inlineStr">
        <is>
          <t>frontend directory</t>
        </is>
      </c>
      <c r="F5" s="16" t="inlineStr">
        <is>
          <t>Vite build completes</t>
        </is>
      </c>
      <c r="G5" s="16" t="inlineStr">
        <is>
          <t>Exit 0. Built in 25.67s. Chunk size warning: index JS 1,567.10 kB.</t>
        </is>
      </c>
      <c r="H5" s="16" t="inlineStr">
        <is>
          <t>Passed</t>
        </is>
      </c>
      <c r="I5" s="19" t="n">
        <v>46311</v>
      </c>
      <c r="J5" s="16" t="inlineStr">
        <is>
          <t>Local Windows, Vite 6.4.3</t>
        </is>
      </c>
      <c r="K5" s="16" t="inlineStr"/>
      <c r="L5" s="16" t="inlineStr">
        <is>
          <t>16 Oct 2026 build</t>
        </is>
      </c>
      <c r="M5" s="16" t="inlineStr">
        <is>
          <t>Warning is not a failure. Not a deployment.</t>
        </is>
      </c>
    </row>
    <row r="6" ht="48" customHeight="1">
      <c r="A6" s="14" t="inlineStr">
        <is>
          <t>QA05</t>
        </is>
      </c>
      <c r="B6" s="14" t="inlineStr">
        <is>
          <t>M16</t>
        </is>
      </c>
      <c r="C6" s="14" t="inlineStr">
        <is>
          <t>Frontend unit</t>
        </is>
      </c>
      <c r="D6" s="14" t="inlineStr">
        <is>
          <t>npx tsx src/utils/dateFilters.test.ts</t>
        </is>
      </c>
      <c r="E6" s="14" t="inlineStr">
        <is>
          <t>frontend directory</t>
        </is>
      </c>
      <c r="F6" s="14" t="inlineStr">
        <is>
          <t>Helper assertions pass</t>
        </is>
      </c>
      <c r="G6" s="14" t="inlineStr">
        <is>
          <t>Printed: invoice date filter helper tests passed. Exit 0.</t>
        </is>
      </c>
      <c r="H6" s="14" t="inlineStr">
        <is>
          <t>Passed</t>
        </is>
      </c>
      <c r="I6" s="18" t="n">
        <v>46311</v>
      </c>
      <c r="J6" s="14" t="inlineStr">
        <is>
          <t>Local Windows, tsx</t>
        </is>
      </c>
      <c r="K6" s="14" t="inlineStr"/>
      <c r="L6" s="14" t="inlineStr">
        <is>
          <t>Same-day run before the suite</t>
        </is>
      </c>
      <c r="M6" s="14" t="inlineStr">
        <is>
          <t>Covers financial-year date maths only.</t>
        </is>
      </c>
    </row>
    <row r="7" ht="48" customHeight="1">
      <c r="A7" s="16" t="inlineStr">
        <is>
          <t>QA06</t>
        </is>
      </c>
      <c r="B7" s="16" t="inlineStr">
        <is>
          <t>M10</t>
        </is>
      </c>
      <c r="C7" s="16" t="inlineStr">
        <is>
          <t>Backend suite</t>
        </is>
      </c>
      <c r="D7" s="16" t="inlineStr">
        <is>
          <t>python manage.py test --verbosity 1</t>
        </is>
      </c>
      <c r="E7" s="16" t="inlineStr">
        <is>
          <t>backend/.venv, isolated test database</t>
        </is>
      </c>
      <c r="F7" s="16" t="inlineStr">
        <is>
          <t>All tests pass</t>
        </is>
      </c>
      <c r="G7" s="16" t="inlineStr">
        <is>
          <t>264 tests in 324.962s. 198 passed, 66 failed, exit 1. Test database created and destroyed.</t>
        </is>
      </c>
      <c r="H7" s="16" t="inlineStr">
        <is>
          <t>Failed</t>
        </is>
      </c>
      <c r="I7" s="19" t="n">
        <v>46311</v>
      </c>
      <c r="J7" s="16" t="inlineStr">
        <is>
          <t>Local Windows, Django test database</t>
        </is>
      </c>
      <c r="K7" s="16" t="inlineStr">
        <is>
          <t>B01, B02</t>
        </is>
      </c>
      <c r="L7" s="16" t="inlineStr">
        <is>
          <t>Terminal log of the 16 Oct 2026 run</t>
        </is>
      </c>
      <c r="M7" s="16" t="inlineStr">
        <is>
          <t>Passed count is 264 minus 66. No error or skip summary was printed.</t>
        </is>
      </c>
    </row>
    <row r="8" ht="48" customHeight="1">
      <c r="A8" s="14" t="inlineStr">
        <is>
          <t>QA07</t>
        </is>
      </c>
      <c r="B8" s="14" t="inlineStr">
        <is>
          <t>M13</t>
        </is>
      </c>
      <c r="C8" s="14" t="inlineStr">
        <is>
          <t>API tests</t>
        </is>
      </c>
      <c r="D8" s="14" t="inlineStr">
        <is>
          <t>payments app failures inside the suite</t>
        </is>
      </c>
      <c r="E8" s="14" t="inlineStr">
        <is>
          <t>Same run</t>
        </is>
      </c>
      <c r="F8" s="14" t="inlineStr">
        <is>
          <t>Payment tests pass</t>
        </is>
      </c>
      <c r="G8" s="14" t="inlineStr">
        <is>
          <t>15 FAIL lines. All shown assertions are brand-not-mapped 400 on PO create.</t>
        </is>
      </c>
      <c r="H8" s="14" t="inlineStr">
        <is>
          <t>Failed</t>
        </is>
      </c>
      <c r="I8" s="18" t="n">
        <v>46311</v>
      </c>
      <c r="J8" s="14" t="inlineStr">
        <is>
          <t>Same</t>
        </is>
      </c>
      <c r="K8" s="14" t="inlineStr">
        <is>
          <t>B01</t>
        </is>
      </c>
      <c r="L8" s="14" t="inlineStr">
        <is>
          <t>payments.tests</t>
        </is>
      </c>
      <c r="M8" s="14" t="inlineStr"/>
    </row>
    <row r="9" ht="48" customHeight="1">
      <c r="A9" s="16" t="inlineStr">
        <is>
          <t>QA08</t>
        </is>
      </c>
      <c r="B9" s="16" t="inlineStr">
        <is>
          <t>M01</t>
        </is>
      </c>
      <c r="C9" s="16" t="inlineStr">
        <is>
          <t>Role-based access</t>
        </is>
      </c>
      <c r="D9" s="16" t="inlineStr">
        <is>
          <t>accounts app failures inside the suite</t>
        </is>
      </c>
      <c r="E9" s="16" t="inlineStr">
        <is>
          <t>Same run</t>
        </is>
      </c>
      <c r="F9" s="16" t="inlineStr">
        <is>
          <t>Scope tests pass</t>
        </is>
      </c>
      <c r="G9" s="16" t="inlineStr">
        <is>
          <t>13 FAIL lines. Names are the customer-scope tests, including session revocation setup. Same 400.</t>
        </is>
      </c>
      <c r="H9" s="16" t="inlineStr">
        <is>
          <t>Failed</t>
        </is>
      </c>
      <c r="I9" s="19" t="n">
        <v>46311</v>
      </c>
      <c r="J9" s="16" t="inlineStr">
        <is>
          <t>Same</t>
        </is>
      </c>
      <c r="K9" s="16" t="inlineStr">
        <is>
          <t>B01</t>
        </is>
      </c>
      <c r="L9" s="16" t="inlineStr">
        <is>
          <t>accounts.tests_customer_scope names in the FAIL list</t>
        </is>
      </c>
      <c r="M9" s="16" t="inlineStr">
        <is>
          <t>Auth lockdown and staff method names were not in the FAIL list. They are not individually certified.</t>
        </is>
      </c>
    </row>
    <row r="10" ht="48" customHeight="1">
      <c r="A10" s="14" t="inlineStr">
        <is>
          <t>QA09</t>
        </is>
      </c>
      <c r="B10" s="14" t="inlineStr">
        <is>
          <t>M12</t>
        </is>
      </c>
      <c r="C10" s="14" t="inlineStr">
        <is>
          <t>API and calculation tests</t>
        </is>
      </c>
      <c r="D10" s="14" t="inlineStr">
        <is>
          <t>invoices app failures inside the suite</t>
        </is>
      </c>
      <c r="E10" s="14" t="inlineStr">
        <is>
          <t>Same run</t>
        </is>
      </c>
      <c r="F10" s="14" t="inlineStr">
        <is>
          <t>Invoice tests pass</t>
        </is>
      </c>
      <c r="G10" s="14" t="inlineStr">
        <is>
          <t>16 FAIL lines. Bodies shown are brand-not-mapped 400, so tax and trace assertions were not reached.</t>
        </is>
      </c>
      <c r="H10" s="14" t="inlineStr">
        <is>
          <t>Failed</t>
        </is>
      </c>
      <c r="I10" s="18" t="n">
        <v>46311</v>
      </c>
      <c r="J10" s="14" t="inlineStr">
        <is>
          <t>Same</t>
        </is>
      </c>
      <c r="K10" s="14" t="inlineStr">
        <is>
          <t>B01</t>
        </is>
      </c>
      <c r="L10" s="14" t="inlineStr">
        <is>
          <t>invoices.tests and tests_trace</t>
        </is>
      </c>
      <c r="M10" s="14" t="inlineStr"/>
    </row>
    <row r="11" ht="48" customHeight="1">
      <c r="A11" s="16" t="inlineStr">
        <is>
          <t>QA10</t>
        </is>
      </c>
      <c r="B11" s="16" t="inlineStr">
        <is>
          <t>M11</t>
        </is>
      </c>
      <c r="C11" s="16" t="inlineStr">
        <is>
          <t>API, import and reconciliation</t>
        </is>
      </c>
      <c r="D11" s="16" t="inlineStr">
        <is>
          <t>dispatches app failures inside the suite</t>
        </is>
      </c>
      <c r="E11" s="16" t="inlineStr">
        <is>
          <t>Same run</t>
        </is>
      </c>
      <c r="F11" s="16" t="inlineStr">
        <is>
          <t>Dispatch tests pass</t>
        </is>
      </c>
      <c r="G11" s="16" t="inlineStr">
        <is>
          <t>10 FAIL lines. 9 are consistent with brand mapping. 1 is the golden preview/commit mismatch.</t>
        </is>
      </c>
      <c r="H11" s="16" t="inlineStr">
        <is>
          <t>Failed</t>
        </is>
      </c>
      <c r="I11" s="19" t="n">
        <v>46311</v>
      </c>
      <c r="J11" s="16" t="inlineStr">
        <is>
          <t>Same</t>
        </is>
      </c>
      <c r="K11" s="16" t="inlineStr">
        <is>
          <t>B01, B02</t>
        </is>
      </c>
      <c r="L11" s="16" t="inlineStr">
        <is>
          <t>dispatches.tests and tests_import</t>
        </is>
      </c>
      <c r="M11" s="16" t="inlineStr">
        <is>
          <t>Reconciliation file had 9 tests. How many of those 9 failed was not separated from the app total.</t>
        </is>
      </c>
    </row>
    <row r="12" ht="48" customHeight="1">
      <c r="A12" s="14" t="inlineStr">
        <is>
          <t>QA11</t>
        </is>
      </c>
      <c r="B12" s="14" t="inlineStr">
        <is>
          <t>M15</t>
        </is>
      </c>
      <c r="C12" s="14" t="inlineStr">
        <is>
          <t>Ledger</t>
        </is>
      </c>
      <c r="D12" s="14" t="inlineStr">
        <is>
          <t>ledger app failures</t>
        </is>
      </c>
      <c r="E12" s="14" t="inlineStr">
        <is>
          <t>Same run</t>
        </is>
      </c>
      <c r="F12" s="14" t="inlineStr">
        <is>
          <t>Ledger tests pass</t>
        </is>
      </c>
      <c r="G12" s="14" t="inlineStr">
        <is>
          <t>7 FAIL lines, brand-not-mapped 400.</t>
        </is>
      </c>
      <c r="H12" s="14" t="inlineStr">
        <is>
          <t>Failed</t>
        </is>
      </c>
      <c r="I12" s="18" t="n">
        <v>46311</v>
      </c>
      <c r="J12" s="14" t="inlineStr">
        <is>
          <t>Same</t>
        </is>
      </c>
      <c r="K12" s="14" t="inlineStr">
        <is>
          <t>B01</t>
        </is>
      </c>
      <c r="L12" s="14" t="inlineStr">
        <is>
          <t>ledger.tests</t>
        </is>
      </c>
      <c r="M12" s="14" t="inlineStr"/>
    </row>
    <row r="13" ht="48" customHeight="1">
      <c r="A13" s="16" t="inlineStr">
        <is>
          <t>QA12</t>
        </is>
      </c>
      <c r="B13" s="16" t="inlineStr">
        <is>
          <t>M07</t>
        </is>
      </c>
      <c r="C13" s="16" t="inlineStr">
        <is>
          <t>Party 360</t>
        </is>
      </c>
      <c r="D13" s="16" t="inlineStr">
        <is>
          <t>customers app failures</t>
        </is>
      </c>
      <c r="E13" s="16" t="inlineStr">
        <is>
          <t>Same run</t>
        </is>
      </c>
      <c r="F13" s="16" t="inlineStr">
        <is>
          <t>Customer tests pass</t>
        </is>
      </c>
      <c r="G13" s="16" t="inlineStr">
        <is>
          <t>3 FAIL lines, brand-not-mapped 400.</t>
        </is>
      </c>
      <c r="H13" s="16" t="inlineStr">
        <is>
          <t>Failed</t>
        </is>
      </c>
      <c r="I13" s="19" t="n">
        <v>46311</v>
      </c>
      <c r="J13" s="16" t="inlineStr">
        <is>
          <t>Same</t>
        </is>
      </c>
      <c r="K13" s="16" t="inlineStr">
        <is>
          <t>B01</t>
        </is>
      </c>
      <c r="L13" s="16" t="inlineStr">
        <is>
          <t>customers.tests_360</t>
        </is>
      </c>
      <c r="M13" s="16" t="inlineStr"/>
    </row>
    <row r="14" ht="48" customHeight="1">
      <c r="A14" s="14" t="inlineStr">
        <is>
          <t>QA13</t>
        </is>
      </c>
      <c r="B14" s="14" t="inlineStr">
        <is>
          <t>M14</t>
        </is>
      </c>
      <c r="C14" s="14" t="inlineStr">
        <is>
          <t>Notifications</t>
        </is>
      </c>
      <c r="D14" s="14" t="inlineStr">
        <is>
          <t>notifications app failures</t>
        </is>
      </c>
      <c r="E14" s="14" t="inlineStr">
        <is>
          <t>Same run</t>
        </is>
      </c>
      <c r="F14" s="14" t="inlineStr">
        <is>
          <t>Notification tests pass</t>
        </is>
      </c>
      <c r="G14" s="14" t="inlineStr">
        <is>
          <t>2 FAIL lines, brand-not-mapped 400.</t>
        </is>
      </c>
      <c r="H14" s="14" t="inlineStr">
        <is>
          <t>Failed</t>
        </is>
      </c>
      <c r="I14" s="18" t="n">
        <v>46311</v>
      </c>
      <c r="J14" s="14" t="inlineStr">
        <is>
          <t>Same</t>
        </is>
      </c>
      <c r="K14" s="14" t="inlineStr">
        <is>
          <t>B01</t>
        </is>
      </c>
      <c r="L14" s="14" t="inlineStr">
        <is>
          <t>notifications.tests</t>
        </is>
      </c>
      <c r="M14" s="14" t="inlineStr"/>
    </row>
    <row r="15" ht="48" customHeight="1">
      <c r="A15" s="16" t="inlineStr">
        <is>
          <t>QA14</t>
        </is>
      </c>
      <c r="B15" s="16" t="inlineStr">
        <is>
          <t>M08</t>
        </is>
      </c>
      <c r="C15" s="16" t="inlineStr">
        <is>
          <t>Apps with no FAIL lines</t>
        </is>
      </c>
      <c r="D15" s="16" t="inlineStr">
        <is>
          <t>brands, categories, dashboards, entities, price_lists, products, purchase_orders, reports, statements</t>
        </is>
      </c>
      <c r="E15" s="16" t="inlineStr">
        <is>
          <t>Same 264-test run</t>
        </is>
      </c>
      <c r="F15" s="16" t="inlineStr">
        <is>
          <t>No failures in these apps</t>
        </is>
      </c>
      <c r="G15" s="16" t="inlineStr">
        <is>
          <t>No FAIL lines named these apps. Individual pass counts were not printed.</t>
        </is>
      </c>
      <c r="H15" s="16" t="inlineStr">
        <is>
          <t>Passed</t>
        </is>
      </c>
      <c r="I15" s="19" t="n">
        <v>46311</v>
      </c>
      <c r="J15" s="16" t="inlineStr">
        <is>
          <t>Same</t>
        </is>
      </c>
      <c r="K15" s="16" t="inlineStr"/>
      <c r="L15" s="16" t="inlineStr">
        <is>
          <t>FAIL inventory from the suite log</t>
        </is>
      </c>
      <c r="M15" s="16" t="inlineStr">
        <is>
          <t>Passed means no failure was recorded, not that every method was read.</t>
        </is>
      </c>
    </row>
    <row r="16" ht="48" customHeight="1">
      <c r="A16" s="14" t="inlineStr">
        <is>
          <t>QA15</t>
        </is>
      </c>
      <c r="B16" s="14" t="inlineStr">
        <is>
          <t>M06</t>
        </is>
      </c>
      <c r="C16" s="14" t="inlineStr">
        <is>
          <t>Frontend component tests</t>
        </is>
      </c>
      <c r="D16" s="14" t="inlineStr">
        <is>
          <t>PurchaseOrderPipeline.test.tsx and similar</t>
        </is>
      </c>
      <c r="E16" s="14" t="inlineStr">
        <is>
          <t>No npm test script</t>
        </is>
      </c>
      <c r="F16" s="14" t="inlineStr">
        <is>
          <t>Would execute if a runner existed</t>
        </is>
      </c>
      <c r="G16" s="14" t="inlineStr">
        <is>
          <t>Not executed. lint and build do not run these files.</t>
        </is>
      </c>
      <c r="H16" s="14" t="inlineStr">
        <is>
          <t>Not Run</t>
        </is>
      </c>
      <c r="I16" s="18" t="n">
        <v>46311</v>
      </c>
      <c r="J16" s="14" t="inlineStr">
        <is>
          <t>Local</t>
        </is>
      </c>
      <c r="K16" s="14" t="inlineStr"/>
      <c r="L16" s="14" t="inlineStr">
        <is>
          <t>frontend/package.json</t>
        </is>
      </c>
      <c r="M16" s="14" t="inlineStr"/>
    </row>
    <row r="17" ht="48" customHeight="1">
      <c r="A17" s="16" t="inlineStr">
        <is>
          <t>QA16</t>
        </is>
      </c>
      <c r="B17" s="16" t="inlineStr">
        <is>
          <t>M18</t>
        </is>
      </c>
      <c r="C17" s="16" t="inlineStr">
        <is>
          <t>Statutory calculations</t>
        </is>
      </c>
      <c r="D17" s="16" t="inlineStr">
        <is>
          <t>Trial balance, profit and loss, balance sheet</t>
        </is>
      </c>
      <c r="E17" s="16" t="inlineStr">
        <is>
          <t>Screens are sample data</t>
        </is>
      </c>
      <c r="F17" s="16" t="inlineStr">
        <is>
          <t>Posted ledger totals</t>
        </is>
      </c>
      <c r="G17" s="16" t="inlineStr">
        <is>
          <t>Not executed. Screens do not calculate from the database.</t>
        </is>
      </c>
      <c r="H17" s="16" t="inlineStr">
        <is>
          <t>Not Applicable</t>
        </is>
      </c>
      <c r="I17" s="19" t="n">
        <v>46311</v>
      </c>
      <c r="J17" s="16" t="inlineStr">
        <is>
          <t>Source inspection</t>
        </is>
      </c>
      <c r="K17" s="16" t="inlineStr">
        <is>
          <t>B04</t>
        </is>
      </c>
      <c r="L17" s="16" t="inlineStr">
        <is>
          <t>Report screen source</t>
        </is>
      </c>
      <c r="M17" s="16" t="inlineStr">
        <is>
          <t>Not Applicable because there is no implementation to test.</t>
        </is>
      </c>
    </row>
    <row r="18" ht="48" customHeight="1">
      <c r="A18" s="14" t="inlineStr">
        <is>
          <t>QA17</t>
        </is>
      </c>
      <c r="B18" s="14" t="inlineStr">
        <is>
          <t>M11</t>
        </is>
      </c>
      <c r="C18" s="14" t="inlineStr">
        <is>
          <t>Deployment smoke</t>
        </is>
      </c>
      <c r="D18" s="14" t="inlineStr">
        <is>
          <t>Production or staging boot</t>
        </is>
      </c>
      <c r="E18" s="14" t="inlineStr">
        <is>
          <t>No deployment target was provided</t>
        </is>
      </c>
      <c r="F18" s="14" t="inlineStr">
        <is>
          <t>App serves on the release host</t>
        </is>
      </c>
      <c r="G18" s="14" t="inlineStr">
        <is>
          <t>Not executed. Local build only.</t>
        </is>
      </c>
      <c r="H18" s="14" t="inlineStr">
        <is>
          <t>Not Run</t>
        </is>
      </c>
      <c r="I18" s="18" t="n">
        <v>46311</v>
      </c>
      <c r="J18" s="14" t="inlineStr">
        <is>
          <t>Not a server</t>
        </is>
      </c>
      <c r="K18" s="14" t="inlineStr"/>
      <c r="L18" s="14" t="inlineStr">
        <is>
          <t>README lists localhost:8000 and localhost:5173 only</t>
        </is>
      </c>
      <c r="M18" s="14" t="inlineStr"/>
    </row>
    <row r="19" ht="48" customHeight="1">
      <c r="A19" s="16" t="inlineStr">
        <is>
          <t>QA18</t>
        </is>
      </c>
      <c r="B19" s="16" t="inlineStr">
        <is>
          <t>M21</t>
        </is>
      </c>
      <c r="C19" s="16" t="inlineStr">
        <is>
          <t>Database backup</t>
        </is>
      </c>
      <c r="D19" s="16" t="inlineStr">
        <is>
          <t>Backup and restore</t>
        </is>
      </c>
      <c r="E19" s="16" t="inlineStr">
        <is>
          <t>No backup file was supplied</t>
        </is>
      </c>
      <c r="F19" s="16" t="inlineStr">
        <is>
          <t>Restore proven</t>
        </is>
      </c>
      <c r="G19" s="16" t="inlineStr">
        <is>
          <t>Not executed. The backup screen does not perform one.</t>
        </is>
      </c>
      <c r="H19" s="16" t="inlineStr">
        <is>
          <t>Not Run</t>
        </is>
      </c>
      <c r="I19" s="19" t="n">
        <v>46311</v>
      </c>
      <c r="J19" s="16" t="inlineStr">
        <is>
          <t>Not run</t>
        </is>
      </c>
      <c r="K19" s="16" t="inlineStr">
        <is>
          <t>B06</t>
        </is>
      </c>
      <c r="L19" s="16" t="inlineStr">
        <is>
          <t>BackupScreen.tsx</t>
        </is>
      </c>
      <c r="M19" s="16" t="inlineStr"/>
    </row>
    <row r="20" ht="48" customHeight="1">
      <c r="A20" s="14" t="inlineStr">
        <is>
          <t>QA19</t>
        </is>
      </c>
      <c r="B20" s="14" t="inlineStr">
        <is>
          <t>M20</t>
        </is>
      </c>
      <c r="C20" s="14" t="inlineStr">
        <is>
          <t>Legacy masters CRUD</t>
        </is>
      </c>
      <c r="D20" s="14" t="inlineStr">
        <is>
          <t>masters app tests</t>
        </is>
      </c>
      <c r="E20" s="14" t="inlineStr">
        <is>
          <t>No masters test module in the 264 tests</t>
        </is>
      </c>
      <c r="F20" s="14" t="inlineStr">
        <is>
          <t>CRUD tests pass</t>
        </is>
      </c>
      <c r="G20" s="14" t="inlineStr">
        <is>
          <t>Not executed.</t>
        </is>
      </c>
      <c r="H20" s="14" t="inlineStr">
        <is>
          <t>Not Run</t>
        </is>
      </c>
      <c r="I20" s="18" t="n">
        <v>46311</v>
      </c>
      <c r="J20" s="14" t="inlineStr">
        <is>
          <t>Same suite</t>
        </is>
      </c>
      <c r="K20" s="14" t="inlineStr"/>
      <c r="L20" s="14" t="inlineStr">
        <is>
          <t>Test file list</t>
        </is>
      </c>
      <c r="M20" s="14" t="inlineStr"/>
    </row>
    <row r="21" ht="48" customHeight="1">
      <c r="A21" s="16" t="inlineStr">
        <is>
          <t>QA20</t>
        </is>
      </c>
      <c r="B21" s="16" t="inlineStr">
        <is>
          <t>M09</t>
        </is>
      </c>
      <c r="C21" s="16" t="inlineStr">
        <is>
          <t>PDF price import</t>
        </is>
      </c>
      <c r="D21" s="16" t="inlineStr">
        <is>
          <t>import-pdf preview and commit</t>
        </is>
      </c>
      <c r="E21" s="16" t="inlineStr">
        <is>
          <t>Feature not built</t>
        </is>
      </c>
      <c r="F21" s="16" t="inlineStr">
        <is>
          <t>Would reject a non-PDF and parse a text layer</t>
        </is>
      </c>
      <c r="G21" s="16" t="inlineStr">
        <is>
          <t>Not executed. No endpoint.</t>
        </is>
      </c>
      <c r="H21" s="16" t="inlineStr">
        <is>
          <t>Not Applicable</t>
        </is>
      </c>
      <c r="I21" s="19" t="n">
        <v>46311</v>
      </c>
      <c r="J21" s="16" t="inlineStr">
        <is>
          <t>Source inspection</t>
        </is>
      </c>
      <c r="K21" s="16" t="inlineStr"/>
      <c r="L21" s="16" t="inlineStr">
        <is>
          <t>price_lists urls and views</t>
        </is>
      </c>
      <c r="M21" s="16" t="inlineStr"/>
    </row>
  </sheetData>
  <autoFilter ref="A1:M21"/>
  <conditionalFormatting sqref="H2:H21">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dataValidations count="1">
    <dataValidation sqref="H2:H21" showDropDown="0" showInputMessage="0" showErrorMessage="0" allowBlank="0" errorTitle="Invalid status" error="Choose a value from the list." type="list">
      <formula1>=Lists!$D$1:$D$5</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16"/>
  <sheetViews>
    <sheetView showGridLines="0" zoomScale="11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55" customWidth="1" min="3" max="3"/>
    <col width="18" customWidth="1" min="4" max="4"/>
    <col width="14" customWidth="1" min="5" max="5"/>
    <col width="12" customWidth="1" min="6" max="6"/>
    <col width="14" customWidth="1" min="7" max="7"/>
    <col width="22" customWidth="1" min="8" max="8"/>
    <col width="18" customWidth="1" min="9" max="9"/>
    <col width="40" customWidth="1" min="10" max="10"/>
    <col width="14" customWidth="1" min="11" max="11"/>
    <col width="16" customWidth="1" min="12" max="12"/>
    <col width="24" customWidth="1" min="13" max="13"/>
    <col width="16" customWidth="1" min="14" max="14"/>
    <col width="36" customWidth="1" min="15" max="15"/>
    <col width="22" customWidth="1" min="16" max="16"/>
  </cols>
  <sheetData>
    <row r="1" ht="32" customHeight="1">
      <c r="A1" s="13" t="inlineStr">
        <is>
          <t>Risk ID</t>
        </is>
      </c>
      <c r="B1" s="13" t="inlineStr">
        <is>
          <t>Module</t>
        </is>
      </c>
      <c r="C1" s="13" t="inlineStr">
        <is>
          <t>Risk Description</t>
        </is>
      </c>
      <c r="D1" s="13" t="inlineStr">
        <is>
          <t>Category</t>
        </is>
      </c>
      <c r="E1" s="13" t="inlineStr">
        <is>
          <t>Likelihood</t>
        </is>
      </c>
      <c r="F1" s="13" t="inlineStr">
        <is>
          <t>Impact</t>
        </is>
      </c>
      <c r="G1" s="13" t="inlineStr">
        <is>
          <t>Risk Level</t>
        </is>
      </c>
      <c r="H1" s="13" t="inlineStr">
        <is>
          <t>Confirmed or Suspected</t>
        </is>
      </c>
      <c r="I1" s="13" t="inlineStr">
        <is>
          <t>Release Blocking</t>
        </is>
      </c>
      <c r="J1" s="13" t="inlineStr">
        <is>
          <t>Mitigation</t>
        </is>
      </c>
      <c r="K1" s="13" t="inlineStr">
        <is>
          <t>Owner</t>
        </is>
      </c>
      <c r="L1" s="13" t="inlineStr">
        <is>
          <t>Estimated Resolution Hours</t>
        </is>
      </c>
      <c r="M1" s="13" t="inlineStr">
        <is>
          <t>Dependencies</t>
        </is>
      </c>
      <c r="N1" s="13" t="inlineStr">
        <is>
          <t>Current Status</t>
        </is>
      </c>
      <c r="O1" s="13" t="inlineStr">
        <is>
          <t>Evidence</t>
        </is>
      </c>
      <c r="P1" s="13" t="inlineStr">
        <is>
          <t>Release Decision</t>
        </is>
      </c>
    </row>
    <row r="2" ht="48" customHeight="1">
      <c r="A2" s="14" t="inlineStr">
        <is>
          <t>R01</t>
        </is>
      </c>
      <c r="B2" s="14" t="inlineStr">
        <is>
          <t>M04</t>
        </is>
      </c>
      <c r="C2" s="14" t="inlineStr">
        <is>
          <t>Trading automated tests fail on branch-brand mapping, so invoice, dispatch and payment behaviour is unproven.</t>
        </is>
      </c>
      <c r="D2" s="14" t="inlineStr">
        <is>
          <t>Integration</t>
        </is>
      </c>
      <c r="E2" s="14" t="inlineStr">
        <is>
          <t>High</t>
        </is>
      </c>
      <c r="F2" s="14" t="inlineStr">
        <is>
          <t>High</t>
        </is>
      </c>
      <c r="G2" s="14" t="inlineStr">
        <is>
          <t>High</t>
        </is>
      </c>
      <c r="H2" s="14" t="inlineStr">
        <is>
          <t>Confirmed</t>
        </is>
      </c>
      <c r="I2" s="14" t="inlineStr">
        <is>
          <t>Yes</t>
        </is>
      </c>
      <c r="J2" s="14" t="inlineStr">
        <is>
          <t>T01 then T12.</t>
        </is>
      </c>
      <c r="K2" s="14" t="inlineStr">
        <is>
          <t>Unassigned</t>
        </is>
      </c>
      <c r="L2" s="14" t="n">
        <v>10</v>
      </c>
      <c r="M2" s="14" t="inlineStr">
        <is>
          <t>T01</t>
        </is>
      </c>
      <c r="N2" s="14" t="inlineStr">
        <is>
          <t>Open</t>
        </is>
      </c>
      <c r="O2" s="14" t="inlineStr">
        <is>
          <t>66 failures, 65 of this family</t>
        </is>
      </c>
      <c r="P2" s="14" t="inlineStr">
        <is>
          <t>Not Ready</t>
        </is>
      </c>
    </row>
    <row r="3" ht="48" customHeight="1">
      <c r="A3" s="16" t="inlineStr">
        <is>
          <t>R02</t>
        </is>
      </c>
      <c r="B3" s="16" t="inlineStr">
        <is>
          <t>M11</t>
        </is>
      </c>
      <c r="C3" s="16" t="inlineStr">
        <is>
          <t>Dispatch import preview and commit differ in the golden test.</t>
        </is>
      </c>
      <c r="D3" s="16" t="inlineStr">
        <is>
          <t>Data integrity</t>
        </is>
      </c>
      <c r="E3" s="16" t="inlineStr">
        <is>
          <t>Medium</t>
        </is>
      </c>
      <c r="F3" s="16" t="inlineStr">
        <is>
          <t>High</t>
        </is>
      </c>
      <c r="G3" s="16" t="inlineStr">
        <is>
          <t>High</t>
        </is>
      </c>
      <c r="H3" s="16" t="inlineStr">
        <is>
          <t>Confirmed</t>
        </is>
      </c>
      <c r="I3" s="16" t="inlineStr">
        <is>
          <t>Yes</t>
        </is>
      </c>
      <c r="J3" s="16" t="inlineStr">
        <is>
          <t>T02.</t>
        </is>
      </c>
      <c r="K3" s="16" t="inlineStr">
        <is>
          <t>Unassigned</t>
        </is>
      </c>
      <c r="L3" s="16" t="n">
        <v>4</v>
      </c>
      <c r="M3" s="16" t="inlineStr">
        <is>
          <t>T01</t>
        </is>
      </c>
      <c r="N3" s="16" t="inlineStr">
        <is>
          <t>Open</t>
        </is>
      </c>
      <c r="O3" s="16" t="inlineStr">
        <is>
          <t>One FAIL line</t>
        </is>
      </c>
      <c r="P3" s="16" t="inlineStr">
        <is>
          <t>Not Ready</t>
        </is>
      </c>
    </row>
    <row r="4" ht="48" customHeight="1">
      <c r="A4" s="14" t="inlineStr">
        <is>
          <t>R03</t>
        </is>
      </c>
      <c r="B4" s="14" t="inlineStr">
        <is>
          <t>M21</t>
        </is>
      </c>
      <c r="C4" s="14" t="inlineStr">
        <is>
          <t>Year-end control changes the header year and claims a close with no server post.</t>
        </is>
      </c>
      <c r="D4" s="14" t="inlineStr">
        <is>
          <t>Data integrity</t>
        </is>
      </c>
      <c r="E4" s="14" t="inlineStr">
        <is>
          <t>High</t>
        </is>
      </c>
      <c r="F4" s="14" t="inlineStr">
        <is>
          <t>High</t>
        </is>
      </c>
      <c r="G4" s="14" t="inlineStr">
        <is>
          <t>Critical</t>
        </is>
      </c>
      <c r="H4" s="14" t="inlineStr">
        <is>
          <t>Confirmed</t>
        </is>
      </c>
      <c r="I4" s="14" t="inlineStr">
        <is>
          <t>Yes</t>
        </is>
      </c>
      <c r="J4" s="14" t="inlineStr">
        <is>
          <t>T03. Remove the screen.</t>
        </is>
      </c>
      <c r="K4" s="14" t="inlineStr">
        <is>
          <t>Unassigned</t>
        </is>
      </c>
      <c r="L4" s="14" t="n">
        <v>4</v>
      </c>
      <c r="M4" s="14" t="inlineStr">
        <is>
          <t>None</t>
        </is>
      </c>
      <c r="N4" s="14" t="inlineStr">
        <is>
          <t>Open</t>
        </is>
      </c>
      <c r="O4" s="14" t="inlineStr">
        <is>
          <t>YearEndClosingScreen.tsx</t>
        </is>
      </c>
      <c r="P4" s="14" t="inlineStr">
        <is>
          <t>Not Ready</t>
        </is>
      </c>
    </row>
    <row r="5" ht="48" customHeight="1">
      <c r="A5" s="16" t="inlineStr">
        <is>
          <t>R04</t>
        </is>
      </c>
      <c r="B5" s="16" t="inlineStr">
        <is>
          <t>M18</t>
        </is>
      </c>
      <c r="C5" s="16" t="inlineStr">
        <is>
          <t>Statutory screens show sample figures in the live navigation.</t>
        </is>
      </c>
      <c r="D5" s="16" t="inlineStr">
        <is>
          <t>Data integrity</t>
        </is>
      </c>
      <c r="E5" s="16" t="inlineStr">
        <is>
          <t>High</t>
        </is>
      </c>
      <c r="F5" s="16" t="inlineStr">
        <is>
          <t>High</t>
        </is>
      </c>
      <c r="G5" s="16" t="inlineStr">
        <is>
          <t>High</t>
        </is>
      </c>
      <c r="H5" s="16" t="inlineStr">
        <is>
          <t>Confirmed</t>
        </is>
      </c>
      <c r="I5" s="16" t="inlineStr">
        <is>
          <t>Yes</t>
        </is>
      </c>
      <c r="J5" s="16" t="inlineStr">
        <is>
          <t>T04. Hide the screens.</t>
        </is>
      </c>
      <c r="K5" s="16" t="inlineStr">
        <is>
          <t>Unassigned</t>
        </is>
      </c>
      <c r="L5" s="16" t="n">
        <v>6</v>
      </c>
      <c r="M5" s="16" t="inlineStr">
        <is>
          <t>None</t>
        </is>
      </c>
      <c r="N5" s="16" t="inlineStr">
        <is>
          <t>Open</t>
        </is>
      </c>
      <c r="O5" s="16" t="inlineStr">
        <is>
          <t>Hard-coded report rows</t>
        </is>
      </c>
      <c r="P5" s="16" t="inlineStr">
        <is>
          <t>Not Ready</t>
        </is>
      </c>
    </row>
    <row r="6" ht="48" customHeight="1">
      <c r="A6" s="14" t="inlineStr">
        <is>
          <t>R05</t>
        </is>
      </c>
      <c r="B6" s="14" t="inlineStr">
        <is>
          <t>M19</t>
        </is>
      </c>
      <c r="C6" s="14" t="inlineStr">
        <is>
          <t>Voucher and order-form screens do not post to the transactions tables.</t>
        </is>
      </c>
      <c r="D6" s="14" t="inlineStr">
        <is>
          <t>Integration</t>
        </is>
      </c>
      <c r="E6" s="14" t="inlineStr">
        <is>
          <t>High</t>
        </is>
      </c>
      <c r="F6" s="14" t="inlineStr">
        <is>
          <t>High</t>
        </is>
      </c>
      <c r="G6" s="14" t="inlineStr">
        <is>
          <t>High</t>
        </is>
      </c>
      <c r="H6" s="14" t="inlineStr">
        <is>
          <t>Confirmed</t>
        </is>
      </c>
      <c r="I6" s="14" t="inlineStr">
        <is>
          <t>Yes</t>
        </is>
      </c>
      <c r="J6" s="14" t="inlineStr">
        <is>
          <t>T05. Hide the screens.</t>
        </is>
      </c>
      <c r="K6" s="14" t="inlineStr">
        <is>
          <t>Unassigned</t>
        </is>
      </c>
      <c r="L6" s="14" t="n">
        <v>6</v>
      </c>
      <c r="M6" s="14" t="inlineStr">
        <is>
          <t>None</t>
        </is>
      </c>
      <c r="N6" s="14" t="inlineStr">
        <is>
          <t>Open</t>
        </is>
      </c>
      <c r="O6" s="14" t="inlineStr">
        <is>
          <t>No API calls in those screens</t>
        </is>
      </c>
      <c r="P6" s="14" t="inlineStr">
        <is>
          <t>Not Ready</t>
        </is>
      </c>
    </row>
    <row r="7" ht="48" customHeight="1">
      <c r="A7" s="16" t="inlineStr">
        <is>
          <t>R06</t>
        </is>
      </c>
      <c r="B7" s="16" t="inlineStr">
        <is>
          <t>M21</t>
        </is>
      </c>
      <c r="C7" s="16" t="inlineStr">
        <is>
          <t>Backup screen can be mistaken for a real backup.</t>
        </is>
      </c>
      <c r="D7" s="16" t="inlineStr">
        <is>
          <t>Database</t>
        </is>
      </c>
      <c r="E7" s="16" t="inlineStr">
        <is>
          <t>High</t>
        </is>
      </c>
      <c r="F7" s="16" t="inlineStr">
        <is>
          <t>High</t>
        </is>
      </c>
      <c r="G7" s="16" t="inlineStr">
        <is>
          <t>High</t>
        </is>
      </c>
      <c r="H7" s="16" t="inlineStr">
        <is>
          <t>Confirmed</t>
        </is>
      </c>
      <c r="I7" s="16" t="inlineStr">
        <is>
          <t>Yes</t>
        </is>
      </c>
      <c r="J7" s="16" t="inlineStr">
        <is>
          <t>T06 and a real backup under T09.</t>
        </is>
      </c>
      <c r="K7" s="16" t="inlineStr">
        <is>
          <t>Unassigned</t>
        </is>
      </c>
      <c r="L7" s="16" t="n">
        <v>2</v>
      </c>
      <c r="M7" s="16" t="inlineStr">
        <is>
          <t>T09</t>
        </is>
      </c>
      <c r="N7" s="16" t="inlineStr">
        <is>
          <t>Open</t>
        </is>
      </c>
      <c r="O7" s="16" t="inlineStr">
        <is>
          <t>BackupScreen.tsx</t>
        </is>
      </c>
      <c r="P7" s="16" t="inlineStr">
        <is>
          <t>Not Ready</t>
        </is>
      </c>
    </row>
    <row r="8" ht="48" customHeight="1">
      <c r="A8" s="14" t="inlineStr">
        <is>
          <t>R07</t>
        </is>
      </c>
      <c r="B8" s="14" t="inlineStr">
        <is>
          <t>M21</t>
        </is>
      </c>
      <c r="C8" s="14" t="inlineStr">
        <is>
          <t>No backup or restore was shown to this audit.</t>
        </is>
      </c>
      <c r="D8" s="14" t="inlineStr">
        <is>
          <t>Database</t>
        </is>
      </c>
      <c r="E8" s="14" t="inlineStr">
        <is>
          <t>Medium</t>
        </is>
      </c>
      <c r="F8" s="14" t="inlineStr">
        <is>
          <t>High</t>
        </is>
      </c>
      <c r="G8" s="14" t="inlineStr">
        <is>
          <t>High</t>
        </is>
      </c>
      <c r="H8" s="14" t="inlineStr">
        <is>
          <t>Suspected</t>
        </is>
      </c>
      <c r="I8" s="14" t="inlineStr">
        <is>
          <t>Yes</t>
        </is>
      </c>
      <c r="J8" s="14" t="inlineStr">
        <is>
          <t>Owner confirms a backup taken before further migrations.</t>
        </is>
      </c>
      <c r="K8" s="14" t="inlineStr">
        <is>
          <t>Unassigned</t>
        </is>
      </c>
      <c r="L8" s="14" t="n">
        <v>2</v>
      </c>
      <c r="M8" s="14" t="inlineStr">
        <is>
          <t>Database owner</t>
        </is>
      </c>
      <c r="N8" s="14" t="inlineStr">
        <is>
          <t>Open</t>
        </is>
      </c>
      <c r="O8" s="14" t="inlineStr">
        <is>
          <t>Audit did not run a backup</t>
        </is>
      </c>
      <c r="P8" s="14" t="inlineStr">
        <is>
          <t>Not Ready</t>
        </is>
      </c>
    </row>
    <row r="9" ht="48" customHeight="1">
      <c r="A9" s="16" t="inlineStr">
        <is>
          <t>R08</t>
        </is>
      </c>
      <c r="B9" s="16" t="inlineStr">
        <is>
          <t>M10</t>
        </is>
      </c>
      <c r="C9" s="16" t="inlineStr">
        <is>
          <t>103 changed files are uncommitted on fix/rename-repair. HEAD is c326fdf.</t>
        </is>
      </c>
      <c r="D9" s="16" t="inlineStr">
        <is>
          <t>Deployment</t>
        </is>
      </c>
      <c r="E9" s="16" t="inlineStr">
        <is>
          <t>High</t>
        </is>
      </c>
      <c r="F9" s="16" t="inlineStr">
        <is>
          <t>High</t>
        </is>
      </c>
      <c r="G9" s="16" t="inlineStr">
        <is>
          <t>Critical</t>
        </is>
      </c>
      <c r="H9" s="16" t="inlineStr">
        <is>
          <t>Confirmed</t>
        </is>
      </c>
      <c r="I9" s="16" t="inlineStr">
        <is>
          <t>Yes</t>
        </is>
      </c>
      <c r="J9" s="16" t="inlineStr">
        <is>
          <t>Human review. This audit must not commit.</t>
        </is>
      </c>
      <c r="K9" s="16" t="inlineStr">
        <is>
          <t>Unassigned</t>
        </is>
      </c>
      <c r="L9" s="16" t="n">
        <v>8</v>
      </c>
      <c r="M9" s="16" t="inlineStr">
        <is>
          <t>T01</t>
        </is>
      </c>
      <c r="N9" s="16" t="inlineStr">
        <is>
          <t>Open</t>
        </is>
      </c>
      <c r="O9" s="16" t="inlineStr">
        <is>
          <t>git diff --stat 16 Oct 2026</t>
        </is>
      </c>
      <c r="P9" s="16" t="inlineStr">
        <is>
          <t>Not Ready</t>
        </is>
      </c>
    </row>
    <row r="10" ht="48" customHeight="1">
      <c r="A10" s="14" t="inlineStr">
        <is>
          <t>R09</t>
        </is>
      </c>
      <c r="B10" s="14" t="inlineStr">
        <is>
          <t>M01</t>
        </is>
      </c>
      <c r="C10" s="14" t="inlineStr">
        <is>
          <t>DEBUG defaults on, and a missing secret key falls back to a dev key while DEBUG is on. Host environment was not inspected.</t>
        </is>
      </c>
      <c r="D10" s="14" t="inlineStr">
        <is>
          <t>Security</t>
        </is>
      </c>
      <c r="E10" s="14" t="inlineStr">
        <is>
          <t>Medium</t>
        </is>
      </c>
      <c r="F10" s="14" t="inlineStr">
        <is>
          <t>High</t>
        </is>
      </c>
      <c r="G10" s="14" t="inlineStr">
        <is>
          <t>High</t>
        </is>
      </c>
      <c r="H10" s="14" t="inlineStr">
        <is>
          <t>Suspected</t>
        </is>
      </c>
      <c r="I10" s="14" t="inlineStr">
        <is>
          <t>Yes</t>
        </is>
      </c>
      <c r="J10" s="14" t="inlineStr">
        <is>
          <t>Set DJANGO_DEBUG false and a real secret on the host. Do not record the secret here.</t>
        </is>
      </c>
      <c r="K10" s="14" t="inlineStr">
        <is>
          <t>Unassigned</t>
        </is>
      </c>
      <c r="L10" s="14" t="n">
        <v>4</v>
      </c>
      <c r="M10" s="14" t="inlineStr">
        <is>
          <t>Host access</t>
        </is>
      </c>
      <c r="N10" s="14" t="inlineStr">
        <is>
          <t>Open</t>
        </is>
      </c>
      <c r="O10" s="14" t="inlineStr">
        <is>
          <t>backend/config/settings.py</t>
        </is>
      </c>
      <c r="P10" s="14" t="inlineStr">
        <is>
          <t>Not Ready</t>
        </is>
      </c>
    </row>
    <row r="11" ht="48" customHeight="1">
      <c r="A11" s="16" t="inlineStr">
        <is>
          <t>R10</t>
        </is>
      </c>
      <c r="B11" s="16" t="inlineStr">
        <is>
          <t>M17</t>
        </is>
      </c>
      <c r="C11" s="16" t="inlineStr">
        <is>
          <t>No deployment smoke test and no rollback note beyond two short READMEs.</t>
        </is>
      </c>
      <c r="D11" s="16" t="inlineStr">
        <is>
          <t>Deployment</t>
        </is>
      </c>
      <c r="E11" s="16" t="inlineStr">
        <is>
          <t>High</t>
        </is>
      </c>
      <c r="F11" s="16" t="inlineStr">
        <is>
          <t>Medium</t>
        </is>
      </c>
      <c r="G11" s="16" t="inlineStr">
        <is>
          <t>High</t>
        </is>
      </c>
      <c r="H11" s="16" t="inlineStr">
        <is>
          <t>Confirmed</t>
        </is>
      </c>
      <c r="I11" s="16" t="inlineStr">
        <is>
          <t>Yes</t>
        </is>
      </c>
      <c r="J11" s="16" t="inlineStr">
        <is>
          <t>Write the release steps and run them on a non-production host.</t>
        </is>
      </c>
      <c r="K11" s="16" t="inlineStr">
        <is>
          <t>Unassigned</t>
        </is>
      </c>
      <c r="L11" s="16" t="n">
        <v>6</v>
      </c>
      <c r="M11" s="16" t="inlineStr">
        <is>
          <t>T10, T09</t>
        </is>
      </c>
      <c r="N11" s="16" t="inlineStr">
        <is>
          <t>Open</t>
        </is>
      </c>
      <c r="O11" s="16" t="inlineStr">
        <is>
          <t>README.md only names localhost ports</t>
        </is>
      </c>
      <c r="P11" s="16" t="inlineStr">
        <is>
          <t>Not Ready</t>
        </is>
      </c>
    </row>
    <row r="12" ht="48" customHeight="1">
      <c r="A12" s="14" t="inlineStr">
        <is>
          <t>R11</t>
        </is>
      </c>
      <c r="B12" s="14" t="inlineStr">
        <is>
          <t>M09</t>
        </is>
      </c>
      <c r="C12" s="14" t="inlineStr">
        <is>
          <t>PDF price lists were specified and only the tables exist.</t>
        </is>
      </c>
      <c r="D12" s="14" t="inlineStr">
        <is>
          <t>Scope</t>
        </is>
      </c>
      <c r="E12" s="14" t="inlineStr">
        <is>
          <t>High</t>
        </is>
      </c>
      <c r="F12" s="14" t="inlineStr">
        <is>
          <t>Medium</t>
        </is>
      </c>
      <c r="G12" s="14" t="inlineStr">
        <is>
          <t>Medium</t>
        </is>
      </c>
      <c r="H12" s="14" t="inlineStr">
        <is>
          <t>Confirmed</t>
        </is>
      </c>
      <c r="I12" s="14" t="inlineStr">
        <is>
          <t>No</t>
        </is>
      </c>
      <c r="J12" s="14" t="inlineStr">
        <is>
          <t>Leave PDF import out of today's release.</t>
        </is>
      </c>
      <c r="K12" s="14" t="inlineStr">
        <is>
          <t>Unassigned</t>
        </is>
      </c>
      <c r="L12" s="14" t="n">
        <v>24</v>
      </c>
      <c r="M12" s="14" t="inlineStr">
        <is>
          <t>Schema already migrated</t>
        </is>
      </c>
      <c r="N12" s="14" t="inlineStr">
        <is>
          <t>Open</t>
        </is>
      </c>
      <c r="O12" s="14" t="inlineStr">
        <is>
          <t>No import-pdf route</t>
        </is>
      </c>
      <c r="P12" s="14" t="inlineStr">
        <is>
          <t>Exclude from release</t>
        </is>
      </c>
    </row>
    <row r="13" ht="48" customHeight="1">
      <c r="A13" s="16" t="inlineStr">
        <is>
          <t>R12</t>
        </is>
      </c>
      <c r="B13" s="16" t="inlineStr">
        <is>
          <t>M22</t>
        </is>
      </c>
      <c r="C13" s="16" t="inlineStr">
        <is>
          <t>Audit screen may not show server audit rows.</t>
        </is>
      </c>
      <c r="D13" s="16" t="inlineStr">
        <is>
          <t>Integration</t>
        </is>
      </c>
      <c r="E13" s="16" t="inlineStr">
        <is>
          <t>Medium</t>
        </is>
      </c>
      <c r="F13" s="16" t="inlineStr">
        <is>
          <t>Medium</t>
        </is>
      </c>
      <c r="G13" s="16" t="inlineStr">
        <is>
          <t>Medium</t>
        </is>
      </c>
      <c r="H13" s="16" t="inlineStr">
        <is>
          <t>Confirmed</t>
        </is>
      </c>
      <c r="I13" s="16" t="inlineStr">
        <is>
          <t>No</t>
        </is>
      </c>
      <c r="J13" s="16" t="inlineStr">
        <is>
          <t>T08 after the trading blockers.</t>
        </is>
      </c>
      <c r="K13" s="16" t="inlineStr">
        <is>
          <t>Unassigned</t>
        </is>
      </c>
      <c r="L13" s="16" t="n">
        <v>4</v>
      </c>
      <c r="M13" s="16" t="inlineStr">
        <is>
          <t>None</t>
        </is>
      </c>
      <c r="N13" s="16" t="inlineStr">
        <is>
          <t>Open</t>
        </is>
      </c>
      <c r="O13" s="16" t="inlineStr">
        <is>
          <t>AuditLogScreen.tsx</t>
        </is>
      </c>
      <c r="P13" s="16" t="inlineStr">
        <is>
          <t>Known limitation</t>
        </is>
      </c>
    </row>
    <row r="14" ht="48" customHeight="1">
      <c r="A14" s="14" t="inlineStr">
        <is>
          <t>R13</t>
        </is>
      </c>
      <c r="B14" s="14" t="inlineStr">
        <is>
          <t>M17</t>
        </is>
      </c>
      <c r="C14" s="14" t="inlineStr">
        <is>
          <t>Bad-debt trend is explicitly not populated.</t>
        </is>
      </c>
      <c r="D14" s="14" t="inlineStr">
        <is>
          <t>Reporting</t>
        </is>
      </c>
      <c r="E14" s="14" t="inlineStr">
        <is>
          <t>High</t>
        </is>
      </c>
      <c r="F14" s="14" t="inlineStr">
        <is>
          <t>Low</t>
        </is>
      </c>
      <c r="G14" s="14" t="inlineStr">
        <is>
          <t>Low</t>
        </is>
      </c>
      <c r="H14" s="14" t="inlineStr">
        <is>
          <t>Confirmed</t>
        </is>
      </c>
      <c r="I14" s="14" t="inlineStr">
        <is>
          <t>No</t>
        </is>
      </c>
      <c r="J14" s="14" t="inlineStr">
        <is>
          <t>Label the report. Do not invent write-offs.</t>
        </is>
      </c>
      <c r="K14" s="14" t="inlineStr">
        <is>
          <t>Unassigned</t>
        </is>
      </c>
      <c r="L14" s="14" t="n">
        <v>1</v>
      </c>
      <c r="M14" s="14" t="inlineStr">
        <is>
          <t>No write-off module</t>
        </is>
      </c>
      <c r="N14" s="14" t="inlineStr">
        <is>
          <t>Open</t>
        </is>
      </c>
      <c r="O14" s="14" t="inlineStr">
        <is>
          <t>reports/services.py TODO</t>
        </is>
      </c>
      <c r="P14" s="14" t="inlineStr">
        <is>
          <t>Known limitation</t>
        </is>
      </c>
    </row>
    <row r="15" ht="48" customHeight="1">
      <c r="A15" s="16" t="inlineStr">
        <is>
          <t>R14</t>
        </is>
      </c>
      <c r="B15" s="16" t="inlineStr">
        <is>
          <t>M06</t>
        </is>
      </c>
      <c r="C15" s="16" t="inlineStr">
        <is>
          <t>Production bundle is one 1.5 MB script. Build still succeeded.</t>
        </is>
      </c>
      <c r="D15" s="16" t="inlineStr">
        <is>
          <t>Performance</t>
        </is>
      </c>
      <c r="E15" s="16" t="inlineStr">
        <is>
          <t>High</t>
        </is>
      </c>
      <c r="F15" s="16" t="inlineStr">
        <is>
          <t>Low</t>
        </is>
      </c>
      <c r="G15" s="16" t="inlineStr">
        <is>
          <t>Low</t>
        </is>
      </c>
      <c r="H15" s="16" t="inlineStr">
        <is>
          <t>Confirmed</t>
        </is>
      </c>
      <c r="I15" s="16" t="inlineStr">
        <is>
          <t>No</t>
        </is>
      </c>
      <c r="J15" s="16" t="inlineStr">
        <is>
          <t>Code-split later. Not a release blocker.</t>
        </is>
      </c>
      <c r="K15" s="16" t="inlineStr">
        <is>
          <t>Unassigned</t>
        </is>
      </c>
      <c r="L15" s="16" t="n">
        <v>4</v>
      </c>
      <c r="M15" s="16" t="inlineStr">
        <is>
          <t>None</t>
        </is>
      </c>
      <c r="N15" s="16" t="inlineStr">
        <is>
          <t>Open</t>
        </is>
      </c>
      <c r="O15" s="16" t="inlineStr">
        <is>
          <t>Vite warning 16 Oct 2026</t>
        </is>
      </c>
      <c r="P15" s="16" t="inlineStr">
        <is>
          <t>Accept for now</t>
        </is>
      </c>
    </row>
    <row r="16" ht="48" customHeight="1">
      <c r="A16" s="14" t="inlineStr">
        <is>
          <t>R15</t>
        </is>
      </c>
      <c r="B16" s="14" t="inlineStr">
        <is>
          <t>M20</t>
        </is>
      </c>
      <c r="C16" s="14" t="inlineStr">
        <is>
          <t>Legacy masters have screens and no tests in the suite that ran.</t>
        </is>
      </c>
      <c r="D16" s="14" t="inlineStr">
        <is>
          <t>Testing</t>
        </is>
      </c>
      <c r="E16" s="14" t="inlineStr">
        <is>
          <t>Medium</t>
        </is>
      </c>
      <c r="F16" s="14" t="inlineStr">
        <is>
          <t>Medium</t>
        </is>
      </c>
      <c r="G16" s="14" t="inlineStr">
        <is>
          <t>Medium</t>
        </is>
      </c>
      <c r="H16" s="14" t="inlineStr">
        <is>
          <t>Confirmed</t>
        </is>
      </c>
      <c r="I16" s="14" t="inlineStr">
        <is>
          <t>No</t>
        </is>
      </c>
      <c r="J16" s="14" t="inlineStr">
        <is>
          <t>Do not call them certified.</t>
        </is>
      </c>
      <c r="K16" s="14" t="inlineStr">
        <is>
          <t>Unassigned</t>
        </is>
      </c>
      <c r="L16" s="14" t="n">
        <v>3</v>
      </c>
      <c r="M16" s="14" t="inlineStr">
        <is>
          <t>QA19</t>
        </is>
      </c>
      <c r="N16" s="14" t="inlineStr">
        <is>
          <t>Open</t>
        </is>
      </c>
      <c r="O16" s="14" t="inlineStr">
        <is>
          <t>No masters tests in the 264</t>
        </is>
      </c>
      <c r="P16" s="14" t="inlineStr">
        <is>
          <t>Known limitation</t>
        </is>
      </c>
    </row>
  </sheetData>
  <autoFilter ref="A1:P16"/>
  <conditionalFormatting sqref="G2:I16">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conditionalFormatting sqref="P2:P16">
    <cfRule type="expression" priority="22" dxfId="0">
      <formula>EXACT(A1,"Completed")</formula>
    </cfRule>
    <cfRule type="expression" priority="23" dxfId="0">
      <formula>EXACT(A1,"Passed")</formula>
    </cfRule>
    <cfRule type="expression" priority="24" dxfId="0">
      <formula>EXACT(A1,"Verified")</formula>
    </cfRule>
    <cfRule type="expression" priority="25" dxfId="0">
      <formula>EXACT(A1,"Yes")</formula>
    </cfRule>
    <cfRule type="expression" priority="26" dxfId="1">
      <formula>EXACT(A1,"In Progress")</formula>
    </cfRule>
    <cfRule type="expression" priority="27" dxfId="1">
      <formula>EXACT(A1,"Ready for Verification")</formula>
    </cfRule>
    <cfRule type="expression" priority="28" dxfId="1">
      <formula>EXACT(A1,"Pending")</formula>
    </cfRule>
    <cfRule type="expression" priority="29" dxfId="1">
      <formula>EXACT(A1,"Not Started")</formula>
    </cfRule>
    <cfRule type="expression" priority="30" dxfId="2">
      <formula>EXACT(A1,"Failed")</formula>
    </cfRule>
    <cfRule type="expression" priority="31" dxfId="2">
      <formula>EXACT(A1,"Blocked")</formula>
    </cfRule>
    <cfRule type="expression" priority="32" dxfId="2">
      <formula>EXACT(A1,"Open")</formula>
    </cfRule>
    <cfRule type="expression" priority="33" dxfId="2">
      <formula>EXACT(A1,"Critical")</formula>
    </cfRule>
    <cfRule type="expression" priority="34" dxfId="3">
      <formula>EXACT(A1,"High")</formula>
    </cfRule>
    <cfRule type="expression" priority="35" dxfId="4">
      <formula>EXACT(A1,"Not Verified")</formula>
    </cfRule>
    <cfRule type="expression" priority="36" dxfId="4">
      <formula>EXACT(A1,"Not Run")</formula>
    </cfRule>
    <cfRule type="expression" priority="37" dxfId="4">
      <formula>EXACT(A1,"Not Applicable")</formula>
    </cfRule>
    <cfRule type="expression" priority="38" dxfId="4">
      <formula>EXACT(A1,"Deferred")</formula>
    </cfRule>
    <cfRule type="expression" priority="39" dxfId="5">
      <formula>EXACT(A1,"Fixed")</formula>
    </cfRule>
    <cfRule type="expression" priority="40" dxfId="1">
      <formula>EXACT(A1,"Suspected")</formula>
    </cfRule>
    <cfRule type="expression" priority="41" dxfId="2">
      <formula>EXACT(A1,"Confirmed")</formula>
    </cfRule>
    <cfRule type="expression" priority="42" dxfId="4">
      <formula>EXACT(A1,"No")</formula>
    </cfRule>
  </conditionalFormatting>
  <dataValidations count="4">
    <dataValidation sqref="G2:G16" showDropDown="0" showInputMessage="0" showErrorMessage="0" allowBlank="0" errorTitle="Invalid status" error="Choose a value from the list." type="list">
      <formula1>=Lists!$B$1:$B$5</formula1>
    </dataValidation>
    <dataValidation sqref="H2:H16" showDropDown="0" showInputMessage="0" showErrorMessage="0" allowBlank="0" errorTitle="Invalid status" error="Choose a value from the list." type="list">
      <formula1>=Lists!$G$1:$G$2</formula1>
    </dataValidation>
    <dataValidation sqref="I2:I16" showDropDown="0" showInputMessage="0" showErrorMessage="0" allowBlank="0" errorTitle="Invalid status" error="Choose a value from the list." type="list">
      <formula1>=Lists!$F$1:$F$2</formula1>
    </dataValidation>
    <dataValidation sqref="P2:P16" showDropDown="0" showInputMessage="0" showErrorMessage="0" allowBlank="0" errorTitle="Invalid status" error="Choose a value from the list." type="list">
      <formula1>=Lists!$H$1:$H$4</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O22"/>
  <sheetViews>
    <sheetView showGridLines="0" zoomScale="11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55" customWidth="1" min="4" max="4"/>
    <col width="14" customWidth="1" min="5" max="5"/>
    <col width="16" customWidth="1" min="6" max="6"/>
    <col width="16" customWidth="1" min="7" max="7"/>
    <col width="14" customWidth="1" min="8" max="8"/>
    <col width="24" customWidth="1" min="9" max="9"/>
    <col width="18" customWidth="1" min="10" max="10"/>
    <col width="18" customWidth="1" min="11" max="11"/>
    <col width="16" customWidth="1" min="12" max="12"/>
    <col width="40" customWidth="1" min="13" max="13"/>
    <col width="28" customWidth="1" min="14" max="14"/>
    <col width="40" customWidth="1" min="15" max="15"/>
  </cols>
  <sheetData>
    <row r="1" ht="32" customHeight="1">
      <c r="A1" s="13" t="inlineStr">
        <is>
          <t>Sequence</t>
        </is>
      </c>
      <c r="B1" s="13" t="inlineStr">
        <is>
          <t>Task ID</t>
        </is>
      </c>
      <c r="C1" s="13" t="inlineStr">
        <is>
          <t>Module</t>
        </is>
      </c>
      <c r="D1" s="13" t="inlineStr">
        <is>
          <t>Task</t>
        </is>
      </c>
      <c r="E1" s="13" t="inlineStr">
        <is>
          <t>Priority</t>
        </is>
      </c>
      <c r="F1" s="13" t="inlineStr">
        <is>
          <t>Release Blocker</t>
        </is>
      </c>
      <c r="G1" s="13" t="inlineStr">
        <is>
          <t>Estimated Hours</t>
        </is>
      </c>
      <c r="H1" s="13" t="inlineStr">
        <is>
          <t>Owner</t>
        </is>
      </c>
      <c r="I1" s="13" t="inlineStr">
        <is>
          <t>Dependencies</t>
        </is>
      </c>
      <c r="J1" s="13" t="inlineStr">
        <is>
          <t>Planned Start</t>
        </is>
      </c>
      <c r="K1" s="13" t="inlineStr">
        <is>
          <t>Planned Finish</t>
        </is>
      </c>
      <c r="L1" s="13" t="inlineStr">
        <is>
          <t>Status</t>
        </is>
      </c>
      <c r="M1" s="13" t="inlineStr">
        <is>
          <t>Acceptance Criteria</t>
        </is>
      </c>
      <c r="N1" s="13" t="inlineStr">
        <is>
          <t>Verification</t>
        </is>
      </c>
      <c r="O1" s="13" t="inlineStr">
        <is>
          <t>Notes</t>
        </is>
      </c>
    </row>
    <row r="2" ht="48" customHeight="1">
      <c r="A2" s="14" t="n">
        <v>1</v>
      </c>
      <c r="B2" s="14" t="inlineStr">
        <is>
          <t>T03</t>
        </is>
      </c>
      <c r="C2" s="14" t="inlineStr">
        <is>
          <t>M21</t>
        </is>
      </c>
      <c r="D2" s="14" t="inlineStr">
        <is>
          <t>Disable the year-end screen so it cannot change the header year</t>
        </is>
      </c>
      <c r="E2" s="14" t="inlineStr">
        <is>
          <t>Critical</t>
        </is>
      </c>
      <c r="F2" s="14" t="inlineStr">
        <is>
          <t>Yes</t>
        </is>
      </c>
      <c r="G2" s="14" t="n">
        <v>2</v>
      </c>
      <c r="H2" s="14" t="inlineStr">
        <is>
          <t>Unassigned</t>
        </is>
      </c>
      <c r="I2" s="14" t="inlineStr">
        <is>
          <t>None</t>
        </is>
      </c>
      <c r="J2" s="14" t="inlineStr">
        <is>
          <t>11:30</t>
        </is>
      </c>
      <c r="K2" s="14" t="inlineStr">
        <is>
          <t>13:30</t>
        </is>
      </c>
      <c r="L2" s="14" t="inlineStr">
        <is>
          <t>Pending</t>
        </is>
      </c>
      <c r="M2" s="14" t="inlineStr">
        <is>
          <t>Header year unchanged after visiting the screen</t>
        </is>
      </c>
      <c r="N2" s="14" t="inlineStr">
        <is>
          <t>Browser check</t>
        </is>
      </c>
      <c r="O2" s="14" t="inlineStr">
        <is>
          <t>Smallest safe fix. Do not build a real close today.</t>
        </is>
      </c>
    </row>
    <row r="3" ht="48" customHeight="1">
      <c r="A3" s="16" t="n">
        <v>2</v>
      </c>
      <c r="B3" s="16" t="inlineStr">
        <is>
          <t>T04</t>
        </is>
      </c>
      <c r="C3" s="16" t="inlineStr">
        <is>
          <t>M18</t>
        </is>
      </c>
      <c r="D3" s="16" t="inlineStr">
        <is>
          <t>Remove sample statutory screens from navigation</t>
        </is>
      </c>
      <c r="E3" s="16" t="inlineStr">
        <is>
          <t>High</t>
        </is>
      </c>
      <c r="F3" s="16" t="inlineStr">
        <is>
          <t>Yes</t>
        </is>
      </c>
      <c r="G3" s="16" t="n">
        <v>3</v>
      </c>
      <c r="H3" s="16" t="inlineStr">
        <is>
          <t>Unassigned</t>
        </is>
      </c>
      <c r="I3" s="16" t="inlineStr">
        <is>
          <t>None</t>
        </is>
      </c>
      <c r="J3" s="16" t="inlineStr">
        <is>
          <t>13:30</t>
        </is>
      </c>
      <c r="K3" s="16" t="inlineStr">
        <is>
          <t>16:30</t>
        </is>
      </c>
      <c r="L3" s="16" t="inlineStr">
        <is>
          <t>Pending</t>
        </is>
      </c>
      <c r="M3" s="16" t="inlineStr">
        <is>
          <t>Screens 29-35 except the live analytics report are not offered</t>
        </is>
      </c>
      <c r="N3" s="16" t="inlineStr">
        <is>
          <t>Navigation check</t>
        </is>
      </c>
      <c r="O3" s="16" t="inlineStr"/>
    </row>
    <row r="4" ht="48" customHeight="1">
      <c r="A4" s="14" t="n">
        <v>3</v>
      </c>
      <c r="B4" s="14" t="inlineStr">
        <is>
          <t>T05</t>
        </is>
      </c>
      <c r="C4" s="14" t="inlineStr">
        <is>
          <t>M19</t>
        </is>
      </c>
      <c r="D4" s="14" t="inlineStr">
        <is>
          <t>Remove sample voucher and order-form screens from navigation</t>
        </is>
      </c>
      <c r="E4" s="14" t="inlineStr">
        <is>
          <t>High</t>
        </is>
      </c>
      <c r="F4" s="14" t="inlineStr">
        <is>
          <t>Yes</t>
        </is>
      </c>
      <c r="G4" s="14" t="n">
        <v>3</v>
      </c>
      <c r="H4" s="14" t="inlineStr">
        <is>
          <t>Unassigned</t>
        </is>
      </c>
      <c r="I4" s="14" t="inlineStr">
        <is>
          <t>T04</t>
        </is>
      </c>
      <c r="J4" s="14" t="inlineStr">
        <is>
          <t>16:30</t>
        </is>
      </c>
      <c r="K4" s="14" t="inlineStr">
        <is>
          <t>19:30</t>
        </is>
      </c>
      <c r="L4" s="14" t="inlineStr">
        <is>
          <t>Pending</t>
        </is>
      </c>
      <c r="M4" s="14" t="inlineStr">
        <is>
          <t>Those screens are not offered</t>
        </is>
      </c>
      <c r="N4" s="14" t="inlineStr">
        <is>
          <t>Navigation check</t>
        </is>
      </c>
      <c r="O4" s="14" t="inlineStr">
        <is>
          <t>Overlaps the end of a normal day. See capacity note.</t>
        </is>
      </c>
    </row>
    <row r="5" ht="48" customHeight="1">
      <c r="A5" s="16" t="n">
        <v>4</v>
      </c>
      <c r="B5" s="16" t="inlineStr">
        <is>
          <t>T06</t>
        </is>
      </c>
      <c r="C5" s="16" t="inlineStr">
        <is>
          <t>M21</t>
        </is>
      </c>
      <c r="D5" s="16" t="inlineStr">
        <is>
          <t>Remove the simulated backup action</t>
        </is>
      </c>
      <c r="E5" s="16" t="inlineStr">
        <is>
          <t>High</t>
        </is>
      </c>
      <c r="F5" s="16" t="inlineStr">
        <is>
          <t>Yes</t>
        </is>
      </c>
      <c r="G5" s="16" t="n">
        <v>1</v>
      </c>
      <c r="H5" s="16" t="inlineStr">
        <is>
          <t>Unassigned</t>
        </is>
      </c>
      <c r="I5" s="16" t="inlineStr">
        <is>
          <t>None</t>
        </is>
      </c>
      <c r="J5" s="16" t="inlineStr">
        <is>
          <t>19:30</t>
        </is>
      </c>
      <c r="K5" s="16" t="inlineStr">
        <is>
          <t>20:30</t>
        </is>
      </c>
      <c r="L5" s="16" t="inlineStr">
        <is>
          <t>Pending</t>
        </is>
      </c>
      <c r="M5" s="16" t="inlineStr">
        <is>
          <t>No success message for a backup that was not taken</t>
        </is>
      </c>
      <c r="N5" s="16" t="inlineStr">
        <is>
          <t>Source check</t>
        </is>
      </c>
      <c r="O5" s="16" t="inlineStr"/>
    </row>
    <row r="6" ht="48" customHeight="1">
      <c r="A6" s="14" t="n">
        <v>5</v>
      </c>
      <c r="B6" s="14" t="inlineStr">
        <is>
          <t>T09</t>
        </is>
      </c>
      <c r="C6" s="14" t="inlineStr">
        <is>
          <t>M21</t>
        </is>
      </c>
      <c r="D6" s="14" t="inlineStr">
        <is>
          <t>Confirm a database backup exists</t>
        </is>
      </c>
      <c r="E6" s="14" t="inlineStr">
        <is>
          <t>Critical</t>
        </is>
      </c>
      <c r="F6" s="14" t="inlineStr">
        <is>
          <t>Yes</t>
        </is>
      </c>
      <c r="G6" s="14" t="n">
        <v>1</v>
      </c>
      <c r="H6" s="14" t="inlineStr">
        <is>
          <t>Unassigned</t>
        </is>
      </c>
      <c r="I6" s="14" t="inlineStr">
        <is>
          <t>Database owner</t>
        </is>
      </c>
      <c r="J6" s="14" t="inlineStr">
        <is>
          <t>11:30</t>
        </is>
      </c>
      <c r="K6" s="14" t="inlineStr">
        <is>
          <t>12:30</t>
        </is>
      </c>
      <c r="L6" s="14" t="inlineStr">
        <is>
          <t>Not Verified</t>
        </is>
      </c>
      <c r="M6" s="14" t="inlineStr">
        <is>
          <t>Backup identity recorded by the owner, not in this file</t>
        </is>
      </c>
      <c r="N6" s="14" t="inlineStr">
        <is>
          <t>Owner confirmation</t>
        </is>
      </c>
      <c r="O6" s="14" t="inlineStr">
        <is>
          <t>Can run in parallel with T03.</t>
        </is>
      </c>
    </row>
    <row r="7" ht="48" customHeight="1">
      <c r="A7" s="16" t="n">
        <v>6</v>
      </c>
      <c r="B7" s="16" t="inlineStr">
        <is>
          <t>T01</t>
        </is>
      </c>
      <c r="C7" s="16" t="inlineStr">
        <is>
          <t>M04</t>
        </is>
      </c>
      <c r="D7" s="16" t="inlineStr">
        <is>
          <t>Fix brand-mapping test setup</t>
        </is>
      </c>
      <c r="E7" s="16" t="inlineStr">
        <is>
          <t>Critical</t>
        </is>
      </c>
      <c r="F7" s="16" t="inlineStr">
        <is>
          <t>Yes</t>
        </is>
      </c>
      <c r="G7" s="16" t="n">
        <v>8</v>
      </c>
      <c r="H7" s="16" t="inlineStr">
        <is>
          <t>Unassigned</t>
        </is>
      </c>
      <c r="I7" s="16" t="inlineStr">
        <is>
          <t>None</t>
        </is>
      </c>
      <c r="J7" s="16" t="inlineStr">
        <is>
          <t>Next working day</t>
        </is>
      </c>
      <c r="K7" s="16" t="inlineStr">
        <is>
          <t>Next working day</t>
        </is>
      </c>
      <c r="L7" s="16" t="inlineStr">
        <is>
          <t>Pending</t>
        </is>
      </c>
      <c r="M7" s="16" t="inlineStr">
        <is>
          <t>Suite no longer fails on unmapped brand</t>
        </is>
      </c>
      <c r="N7" s="16" t="inlineStr">
        <is>
          <t>manage.py test</t>
        </is>
      </c>
      <c r="O7" s="16" t="inlineStr">
        <is>
          <t>Does not fit after the navigation lockdown.</t>
        </is>
      </c>
    </row>
    <row r="8" ht="48" customHeight="1">
      <c r="A8" s="14" t="n">
        <v>7</v>
      </c>
      <c r="B8" s="14" t="inlineStr">
        <is>
          <t>T02</t>
        </is>
      </c>
      <c r="C8" s="14" t="inlineStr">
        <is>
          <t>M11</t>
        </is>
      </c>
      <c r="D8" s="14" t="inlineStr">
        <is>
          <t>Fix dispatch golden preview versus commit</t>
        </is>
      </c>
      <c r="E8" s="14" t="inlineStr">
        <is>
          <t>High</t>
        </is>
      </c>
      <c r="F8" s="14" t="inlineStr">
        <is>
          <t>Yes</t>
        </is>
      </c>
      <c r="G8" s="14" t="n">
        <v>4</v>
      </c>
      <c r="H8" s="14" t="inlineStr">
        <is>
          <t>Unassigned</t>
        </is>
      </c>
      <c r="I8" s="14" t="inlineStr">
        <is>
          <t>T01</t>
        </is>
      </c>
      <c r="J8" s="14" t="inlineStr">
        <is>
          <t>After T01</t>
        </is>
      </c>
      <c r="K8" s="14" t="inlineStr">
        <is>
          <t>After T01</t>
        </is>
      </c>
      <c r="L8" s="14" t="inlineStr">
        <is>
          <t>Pending</t>
        </is>
      </c>
      <c r="M8" s="14" t="inlineStr">
        <is>
          <t>Golden test passes</t>
        </is>
      </c>
      <c r="N8" s="14" t="inlineStr">
        <is>
          <t>dispatches import test</t>
        </is>
      </c>
      <c r="O8" s="14" t="inlineStr"/>
    </row>
    <row r="9" ht="48" customHeight="1">
      <c r="A9" s="16" t="n">
        <v>8</v>
      </c>
      <c r="B9" s="16" t="inlineStr">
        <is>
          <t>T12</t>
        </is>
      </c>
      <c r="C9" s="16" t="inlineStr">
        <is>
          <t>M11</t>
        </is>
      </c>
      <c r="D9" s="16" t="inlineStr">
        <is>
          <t>Re-run the full backend suite</t>
        </is>
      </c>
      <c r="E9" s="16" t="inlineStr">
        <is>
          <t>Critical</t>
        </is>
      </c>
      <c r="F9" s="16" t="inlineStr">
        <is>
          <t>Yes</t>
        </is>
      </c>
      <c r="G9" s="16" t="n">
        <v>2</v>
      </c>
      <c r="H9" s="16" t="inlineStr">
        <is>
          <t>Unassigned</t>
        </is>
      </c>
      <c r="I9" s="16" t="inlineStr">
        <is>
          <t>T01, T02</t>
        </is>
      </c>
      <c r="J9" s="16" t="inlineStr">
        <is>
          <t>After T02</t>
        </is>
      </c>
      <c r="K9" s="16" t="inlineStr">
        <is>
          <t>After T02</t>
        </is>
      </c>
      <c r="L9" s="16" t="inlineStr">
        <is>
          <t>Pending</t>
        </is>
      </c>
      <c r="M9" s="16" t="inlineStr">
        <is>
          <t>Exit 0 or a written exception list</t>
        </is>
      </c>
      <c r="N9" s="16" t="inlineStr">
        <is>
          <t>manage.py test</t>
        </is>
      </c>
      <c r="O9" s="16" t="inlineStr"/>
    </row>
    <row r="10" ht="48" customHeight="1">
      <c r="A10" s="14" t="n">
        <v>9</v>
      </c>
      <c r="B10" s="14" t="inlineStr">
        <is>
          <t>T11</t>
        </is>
      </c>
      <c r="C10" s="14" t="inlineStr">
        <is>
          <t>M10</t>
        </is>
      </c>
      <c r="D10" s="14" t="inlineStr">
        <is>
          <t>Review the uncommitted tree before any tag</t>
        </is>
      </c>
      <c r="E10" s="14" t="inlineStr">
        <is>
          <t>Critical</t>
        </is>
      </c>
      <c r="F10" s="14" t="inlineStr">
        <is>
          <t>Yes</t>
        </is>
      </c>
      <c r="G10" s="14" t="n">
        <v>8</v>
      </c>
      <c r="H10" s="14" t="inlineStr">
        <is>
          <t>Unassigned</t>
        </is>
      </c>
      <c r="I10" s="14" t="inlineStr">
        <is>
          <t>T01</t>
        </is>
      </c>
      <c r="J10" s="14" t="inlineStr">
        <is>
          <t>After tests</t>
        </is>
      </c>
      <c r="K10" s="14" t="inlineStr">
        <is>
          <t>After tests</t>
        </is>
      </c>
      <c r="L10" s="14" t="inlineStr">
        <is>
          <t>Pending</t>
        </is>
      </c>
      <c r="M10" s="14" t="inlineStr">
        <is>
          <t>Release commit matches what was reviewed</t>
        </is>
      </c>
      <c r="N10" s="14" t="inlineStr">
        <is>
          <t>git status</t>
        </is>
      </c>
      <c r="O10" s="14" t="inlineStr">
        <is>
          <t>Do not tag c326fdf plus a dirty tree.</t>
        </is>
      </c>
    </row>
    <row r="11" ht="48" customHeight="1">
      <c r="A11" s="16" t="n">
        <v>10</v>
      </c>
      <c r="B11" s="16" t="inlineStr">
        <is>
          <t>T10</t>
        </is>
      </c>
      <c r="C11" s="16" t="inlineStr">
        <is>
          <t>M01</t>
        </is>
      </c>
      <c r="D11" s="16" t="inlineStr">
        <is>
          <t>Set production debug and secret on the host</t>
        </is>
      </c>
      <c r="E11" s="16" t="inlineStr">
        <is>
          <t>High</t>
        </is>
      </c>
      <c r="F11" s="16" t="inlineStr">
        <is>
          <t>Yes</t>
        </is>
      </c>
      <c r="G11" s="16" t="n">
        <v>4</v>
      </c>
      <c r="H11" s="16" t="inlineStr">
        <is>
          <t>Unassigned</t>
        </is>
      </c>
      <c r="I11" s="16" t="inlineStr">
        <is>
          <t>Host access</t>
        </is>
      </c>
      <c r="J11" s="16" t="inlineStr">
        <is>
          <t>Before any deploy</t>
        </is>
      </c>
      <c r="K11" s="16" t="inlineStr">
        <is>
          <t>Before any deploy</t>
        </is>
      </c>
      <c r="L11" s="16" t="inlineStr">
        <is>
          <t>Not Verified</t>
        </is>
      </c>
      <c r="M11" s="16" t="inlineStr">
        <is>
          <t>DEBUG off and secret present, values not written down here</t>
        </is>
      </c>
      <c r="N11" s="16" t="inlineStr">
        <is>
          <t>Environment names only</t>
        </is>
      </c>
      <c r="O11" s="16" t="inlineStr"/>
    </row>
    <row r="12" ht="48" customHeight="1">
      <c r="A12" s="14" t="n">
        <v>11</v>
      </c>
      <c r="B12" s="14" t="inlineStr">
        <is>
          <t>T14</t>
        </is>
      </c>
      <c r="C12" s="14" t="inlineStr">
        <is>
          <t>M16</t>
        </is>
      </c>
      <c r="D12" s="14" t="inlineStr">
        <is>
          <t>Click header year and month against one live list</t>
        </is>
      </c>
      <c r="E12" s="14" t="inlineStr">
        <is>
          <t>Medium</t>
        </is>
      </c>
      <c r="F12" s="14" t="inlineStr">
        <is>
          <t>No</t>
        </is>
      </c>
      <c r="G12" s="14" t="n">
        <v>2</v>
      </c>
      <c r="H12" s="14" t="inlineStr">
        <is>
          <t>Unassigned</t>
        </is>
      </c>
      <c r="I12" s="14" t="inlineStr">
        <is>
          <t>T03</t>
        </is>
      </c>
      <c r="J12" s="14" t="inlineStr">
        <is>
          <t>If time remains</t>
        </is>
      </c>
      <c r="K12" s="14" t="inlineStr">
        <is>
          <t>If time remains</t>
        </is>
      </c>
      <c r="L12" s="14" t="inlineStr">
        <is>
          <t>Not Verified</t>
        </is>
      </c>
      <c r="M12" s="14" t="inlineStr">
        <is>
          <t>List follows the header period</t>
        </is>
      </c>
      <c r="N12" s="14" t="inlineStr">
        <is>
          <t>Browser</t>
        </is>
      </c>
      <c r="O12" s="14" t="inlineStr"/>
    </row>
    <row r="13" ht="48" customHeight="1">
      <c r="A13" s="16" t="n">
        <v>12</v>
      </c>
      <c r="B13" s="16" t="inlineStr">
        <is>
          <t>T07</t>
        </is>
      </c>
      <c r="C13" s="16" t="inlineStr">
        <is>
          <t>M09</t>
        </is>
      </c>
      <c r="D13" s="16" t="inlineStr">
        <is>
          <t>PDF price-list import</t>
        </is>
      </c>
      <c r="E13" s="16" t="inlineStr">
        <is>
          <t>High</t>
        </is>
      </c>
      <c r="F13" s="16" t="inlineStr">
        <is>
          <t>No</t>
        </is>
      </c>
      <c r="G13" s="16" t="n">
        <v>24</v>
      </c>
      <c r="H13" s="16" t="inlineStr">
        <is>
          <t>Unassigned</t>
        </is>
      </c>
      <c r="I13" s="16" t="inlineStr">
        <is>
          <t>Schema already applied</t>
        </is>
      </c>
      <c r="J13" s="16" t="inlineStr">
        <is>
          <t>Not today</t>
        </is>
      </c>
      <c r="K13" s="16" t="inlineStr">
        <is>
          <t>Not today</t>
        </is>
      </c>
      <c r="L13" s="16" t="inlineStr">
        <is>
          <t>Pending</t>
        </is>
      </c>
      <c r="M13" s="16" t="inlineStr">
        <is>
          <t>Out of today's scope</t>
        </is>
      </c>
      <c r="N13" s="16" t="inlineStr">
        <is>
          <t>Not scheduled</t>
        </is>
      </c>
      <c r="O13" s="16" t="inlineStr">
        <is>
          <t>Exclude from the release.</t>
        </is>
      </c>
    </row>
    <row r="15">
      <c r="F15" s="20" t="inlineStr">
        <is>
          <t>Hours in this plan</t>
        </is>
      </c>
      <c r="G15">
        <f>SUM(G2:G13)</f>
        <v/>
      </c>
    </row>
    <row r="16">
      <c r="F16" s="20" t="inlineStr">
        <is>
          <t>Blocker hours (Release Blocker = Yes)</t>
        </is>
      </c>
      <c r="G16">
        <f>SUMIF(F2:F13,"Yes",G2:G13)</f>
        <v/>
      </c>
    </row>
    <row r="17">
      <c r="F17" s="20" t="inlineStr">
        <is>
          <t>Assumed hours left on 16 Oct 2026</t>
        </is>
      </c>
      <c r="G17" s="21" t="n">
        <v>7</v>
      </c>
    </row>
    <row r="18">
      <c r="F18" s="20" t="inlineStr">
        <is>
          <t>Gap (negative means over capacity)</t>
        </is>
      </c>
      <c r="G18">
        <f>G17-G16</f>
        <v/>
      </c>
    </row>
    <row r="20" ht="60" customHeight="1">
      <c r="A20" s="8" t="inlineStr">
        <is>
          <t>Capacity assumption: one person, about seven hours left after 11:00 on 16 October 2026 if the day ends at 18:00. Confirm the cell highlighted above. Blocker work in this plan is far larger than seven hours. Minimum safe scope for today is not a release: disable the year-end, backup, statutory and voucher screens, and do not deploy. PDF import, the test repair and a reviewed commit do not fit today.</t>
        </is>
      </c>
    </row>
    <row r="21"/>
    <row r="22"/>
  </sheetData>
  <autoFilter ref="A1:O13"/>
  <mergeCells count="1">
    <mergeCell ref="A20:H22"/>
  </mergeCells>
  <conditionalFormatting sqref="E2:F13">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conditionalFormatting sqref="L2:L13">
    <cfRule type="expression" priority="22" dxfId="0">
      <formula>EXACT(A1,"Completed")</formula>
    </cfRule>
    <cfRule type="expression" priority="23" dxfId="0">
      <formula>EXACT(A1,"Passed")</formula>
    </cfRule>
    <cfRule type="expression" priority="24" dxfId="0">
      <formula>EXACT(A1,"Verified")</formula>
    </cfRule>
    <cfRule type="expression" priority="25" dxfId="0">
      <formula>EXACT(A1,"Yes")</formula>
    </cfRule>
    <cfRule type="expression" priority="26" dxfId="1">
      <formula>EXACT(A1,"In Progress")</formula>
    </cfRule>
    <cfRule type="expression" priority="27" dxfId="1">
      <formula>EXACT(A1,"Ready for Verification")</formula>
    </cfRule>
    <cfRule type="expression" priority="28" dxfId="1">
      <formula>EXACT(A1,"Pending")</formula>
    </cfRule>
    <cfRule type="expression" priority="29" dxfId="1">
      <formula>EXACT(A1,"Not Started")</formula>
    </cfRule>
    <cfRule type="expression" priority="30" dxfId="2">
      <formula>EXACT(A1,"Failed")</formula>
    </cfRule>
    <cfRule type="expression" priority="31" dxfId="2">
      <formula>EXACT(A1,"Blocked")</formula>
    </cfRule>
    <cfRule type="expression" priority="32" dxfId="2">
      <formula>EXACT(A1,"Open")</formula>
    </cfRule>
    <cfRule type="expression" priority="33" dxfId="2">
      <formula>EXACT(A1,"Critical")</formula>
    </cfRule>
    <cfRule type="expression" priority="34" dxfId="3">
      <formula>EXACT(A1,"High")</formula>
    </cfRule>
    <cfRule type="expression" priority="35" dxfId="4">
      <formula>EXACT(A1,"Not Verified")</formula>
    </cfRule>
    <cfRule type="expression" priority="36" dxfId="4">
      <formula>EXACT(A1,"Not Run")</formula>
    </cfRule>
    <cfRule type="expression" priority="37" dxfId="4">
      <formula>EXACT(A1,"Not Applicable")</formula>
    </cfRule>
    <cfRule type="expression" priority="38" dxfId="4">
      <formula>EXACT(A1,"Deferred")</formula>
    </cfRule>
    <cfRule type="expression" priority="39" dxfId="5">
      <formula>EXACT(A1,"Fixed")</formula>
    </cfRule>
    <cfRule type="expression" priority="40" dxfId="1">
      <formula>EXACT(A1,"Suspected")</formula>
    </cfRule>
    <cfRule type="expression" priority="41" dxfId="2">
      <formula>EXACT(A1,"Confirmed")</formula>
    </cfRule>
    <cfRule type="expression" priority="42" dxfId="4">
      <formula>EXACT(A1,"No")</formula>
    </cfRule>
  </conditionalFormatting>
  <dataValidations count="3">
    <dataValidation sqref="E2:E13" showDropDown="0" showInputMessage="0" showErrorMessage="0" allowBlank="0" errorTitle="Invalid status" error="Choose a value from the list." type="list">
      <formula1>=Lists!$B$1:$B$5</formula1>
    </dataValidation>
    <dataValidation sqref="F2:F13" showDropDown="0" showInputMessage="0" showErrorMessage="0" allowBlank="0" errorTitle="Invalid status" error="Choose a value from the list." type="list">
      <formula1>=Lists!$F$1:$F$2</formula1>
    </dataValidation>
    <dataValidation sqref="L2:L13" showDropDown="0" showInputMessage="0" showErrorMessage="0" allowBlank="0" errorTitle="Invalid status" error="Choose a value from the list." type="list">
      <formula1>=Lists!$A$1:$A$6</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23"/>
  <sheetViews>
    <sheetView showGridLines="0" zoomScale="11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52" customWidth="1" min="3" max="3"/>
    <col width="14" customWidth="1" min="4" max="4"/>
    <col width="16" customWidth="1" min="5" max="5"/>
    <col width="55" customWidth="1" min="6" max="6"/>
    <col width="20" customWidth="1" min="7" max="7"/>
    <col width="42" customWidth="1" min="8" max="8"/>
  </cols>
  <sheetData>
    <row r="1" ht="32" customHeight="1">
      <c r="A1" s="13" t="inlineStr">
        <is>
          <t>Checklist ID</t>
        </is>
      </c>
      <c r="B1" s="13" t="inlineStr">
        <is>
          <t>Category</t>
        </is>
      </c>
      <c r="C1" s="13" t="inlineStr">
        <is>
          <t>Requirement</t>
        </is>
      </c>
      <c r="D1" s="13" t="inlineStr">
        <is>
          <t>Mandatory</t>
        </is>
      </c>
      <c r="E1" s="13" t="inlineStr">
        <is>
          <t>Status</t>
        </is>
      </c>
      <c r="F1" s="13" t="inlineStr">
        <is>
          <t>Evidence</t>
        </is>
      </c>
      <c r="G1" s="13" t="inlineStr">
        <is>
          <t>Responsible Person</t>
        </is>
      </c>
      <c r="H1" s="13" t="inlineStr">
        <is>
          <t>Remarks</t>
        </is>
      </c>
    </row>
    <row r="2" ht="48" customHeight="1">
      <c r="A2" s="14" t="inlineStr">
        <is>
          <t>C01</t>
        </is>
      </c>
      <c r="B2" s="14" t="inlineStr">
        <is>
          <t>Source</t>
        </is>
      </c>
      <c r="C2" s="14" t="inlineStr">
        <is>
          <t>Source code reviewed for release</t>
        </is>
      </c>
      <c r="D2" s="14" t="inlineStr">
        <is>
          <t>Yes</t>
        </is>
      </c>
      <c r="E2" s="14" t="inlineStr">
        <is>
          <t>Not Started</t>
        </is>
      </c>
      <c r="F2" s="14" t="inlineStr">
        <is>
          <t>103 files differ from HEAD c326fdf</t>
        </is>
      </c>
      <c r="G2" s="14" t="inlineStr">
        <is>
          <t>Unassigned</t>
        </is>
      </c>
      <c r="H2" s="14" t="inlineStr">
        <is>
          <t>Uncommitted tree</t>
        </is>
      </c>
    </row>
    <row r="3" ht="48" customHeight="1">
      <c r="A3" s="16" t="inlineStr">
        <is>
          <t>C02</t>
        </is>
      </c>
      <c r="B3" s="16" t="inlineStr">
        <is>
          <t>Frontend</t>
        </is>
      </c>
      <c r="C3" s="16" t="inlineStr">
        <is>
          <t>Frontend production build successful</t>
        </is>
      </c>
      <c r="D3" s="16" t="inlineStr">
        <is>
          <t>Yes</t>
        </is>
      </c>
      <c r="E3" s="16" t="inlineStr">
        <is>
          <t>Passed</t>
        </is>
      </c>
      <c r="F3" s="16" t="inlineStr">
        <is>
          <t>npm run build exit 0 on 16 Oct 2026</t>
        </is>
      </c>
      <c r="G3" s="16" t="inlineStr">
        <is>
          <t>Unassigned</t>
        </is>
      </c>
      <c r="H3" s="16" t="inlineStr">
        <is>
          <t>Chunk-size warning remains</t>
        </is>
      </c>
    </row>
    <row r="4" ht="48" customHeight="1">
      <c r="A4" s="14" t="inlineStr">
        <is>
          <t>C03</t>
        </is>
      </c>
      <c r="B4" s="14" t="inlineStr">
        <is>
          <t>Frontend</t>
        </is>
      </c>
      <c r="C4" s="14" t="inlineStr">
        <is>
          <t>Frontend typecheck successful</t>
        </is>
      </c>
      <c r="D4" s="14" t="inlineStr">
        <is>
          <t>Yes</t>
        </is>
      </c>
      <c r="E4" s="14" t="inlineStr">
        <is>
          <t>Passed</t>
        </is>
      </c>
      <c r="F4" s="14" t="inlineStr">
        <is>
          <t>npm run lint exit 0</t>
        </is>
      </c>
      <c r="G4" s="14" t="inlineStr">
        <is>
          <t>Unassigned</t>
        </is>
      </c>
      <c r="H4" s="14" t="inlineStr">
        <is>
          <t>lint means tsc --noEmit</t>
        </is>
      </c>
    </row>
    <row r="5" ht="48" customHeight="1">
      <c r="A5" s="16" t="inlineStr">
        <is>
          <t>C04</t>
        </is>
      </c>
      <c r="B5" s="16" t="inlineStr">
        <is>
          <t>Backend</t>
        </is>
      </c>
      <c r="C5" s="16" t="inlineStr">
        <is>
          <t>Django system check successful</t>
        </is>
      </c>
      <c r="D5" s="16" t="inlineStr">
        <is>
          <t>Yes</t>
        </is>
      </c>
      <c r="E5" s="16" t="inlineStr">
        <is>
          <t>Passed</t>
        </is>
      </c>
      <c r="F5" s="16" t="inlineStr">
        <is>
          <t>manage.py check exit 0</t>
        </is>
      </c>
      <c r="G5" s="16" t="inlineStr">
        <is>
          <t>Unassigned</t>
        </is>
      </c>
      <c r="H5" s="16" t="inlineStr"/>
    </row>
    <row r="6" ht="48" customHeight="1">
      <c r="A6" s="14" t="inlineStr">
        <is>
          <t>C05</t>
        </is>
      </c>
      <c r="B6" s="14" t="inlineStr">
        <is>
          <t>Backend</t>
        </is>
      </c>
      <c r="C6" s="14" t="inlineStr">
        <is>
          <t>Relevant automated tests passed</t>
        </is>
      </c>
      <c r="D6" s="14" t="inlineStr">
        <is>
          <t>Yes</t>
        </is>
      </c>
      <c r="E6" s="14" t="inlineStr">
        <is>
          <t>Failed</t>
        </is>
      </c>
      <c r="F6" s="14" t="inlineStr">
        <is>
          <t>264 tests, 66 failed, exit 1</t>
        </is>
      </c>
      <c r="G6" s="14" t="inlineStr">
        <is>
          <t>Unassigned</t>
        </is>
      </c>
      <c r="H6" s="14" t="inlineStr"/>
    </row>
    <row r="7" ht="48" customHeight="1">
      <c r="A7" s="16" t="inlineStr">
        <is>
          <t>C06</t>
        </is>
      </c>
      <c r="B7" s="16" t="inlineStr">
        <is>
          <t>Defects</t>
        </is>
      </c>
      <c r="C7" s="16" t="inlineStr">
        <is>
          <t>Critical bugs resolved and verified</t>
        </is>
      </c>
      <c r="D7" s="16" t="inlineStr">
        <is>
          <t>Yes</t>
        </is>
      </c>
      <c r="E7" s="16" t="inlineStr">
        <is>
          <t>Failed</t>
        </is>
      </c>
      <c r="F7" s="16" t="inlineStr">
        <is>
          <t>B03 is open</t>
        </is>
      </c>
      <c r="G7" s="16" t="inlineStr">
        <is>
          <t>Unassigned</t>
        </is>
      </c>
      <c r="H7" s="16" t="inlineStr"/>
    </row>
    <row r="8" ht="48" customHeight="1">
      <c r="A8" s="14" t="inlineStr">
        <is>
          <t>C07</t>
        </is>
      </c>
      <c r="B8" s="14" t="inlineStr">
        <is>
          <t>Defects</t>
        </is>
      </c>
      <c r="C8" s="14" t="inlineStr">
        <is>
          <t>High-priority release blockers reviewed</t>
        </is>
      </c>
      <c r="D8" s="14" t="inlineStr">
        <is>
          <t>Yes</t>
        </is>
      </c>
      <c r="E8" s="14" t="inlineStr">
        <is>
          <t>Not Started</t>
        </is>
      </c>
      <c r="F8" s="14" t="inlineStr">
        <is>
          <t>R01-R08 still open</t>
        </is>
      </c>
      <c r="G8" s="14" t="inlineStr">
        <is>
          <t>Unassigned</t>
        </is>
      </c>
      <c r="H8" s="14" t="inlineStr">
        <is>
          <t>Reviewed means accepted or fixed, not merely listed</t>
        </is>
      </c>
    </row>
    <row r="9" ht="48" customHeight="1">
      <c r="A9" s="16" t="inlineStr">
        <is>
          <t>C08</t>
        </is>
      </c>
      <c r="B9" s="16" t="inlineStr">
        <is>
          <t>Database</t>
        </is>
      </c>
      <c r="C9" s="16" t="inlineStr">
        <is>
          <t>Migrations reviewed</t>
        </is>
      </c>
      <c r="D9" s="16" t="inlineStr">
        <is>
          <t>Yes</t>
        </is>
      </c>
      <c r="E9" s="16" t="inlineStr">
        <is>
          <t>Passed</t>
        </is>
      </c>
      <c r="F9" s="16" t="inlineStr">
        <is>
          <t>No unapplied lines in showmigrations --plan filter</t>
        </is>
      </c>
      <c r="G9" s="16" t="inlineStr">
        <is>
          <t>Unassigned</t>
        </is>
      </c>
      <c r="H9" s="16" t="inlineStr">
        <is>
          <t>Applied is not the same as reviewed by a person</t>
        </is>
      </c>
    </row>
    <row r="10" ht="48" customHeight="1">
      <c r="A10" s="14" t="inlineStr">
        <is>
          <t>C09</t>
        </is>
      </c>
      <c r="B10" s="14" t="inlineStr">
        <is>
          <t>Database</t>
        </is>
      </c>
      <c r="C10" s="14" t="inlineStr">
        <is>
          <t>Database backup verified</t>
        </is>
      </c>
      <c r="D10" s="14" t="inlineStr">
        <is>
          <t>Yes</t>
        </is>
      </c>
      <c r="E10" s="14" t="inlineStr">
        <is>
          <t>Not Started</t>
        </is>
      </c>
      <c r="F10" s="14" t="inlineStr">
        <is>
          <t>No backup shown</t>
        </is>
      </c>
      <c r="G10" s="14" t="inlineStr">
        <is>
          <t>Unassigned</t>
        </is>
      </c>
      <c r="H10" s="14" t="inlineStr"/>
    </row>
    <row r="11" ht="48" customHeight="1">
      <c r="A11" s="16" t="inlineStr">
        <is>
          <t>C10</t>
        </is>
      </c>
      <c r="B11" s="16" t="inlineStr">
        <is>
          <t>Configuration</t>
        </is>
      </c>
      <c r="C11" s="16" t="inlineStr">
        <is>
          <t>Environment variables configured for production</t>
        </is>
      </c>
      <c r="D11" s="16" t="inlineStr">
        <is>
          <t>Yes</t>
        </is>
      </c>
      <c r="E11" s="16" t="inlineStr">
        <is>
          <t>Not Started</t>
        </is>
      </c>
      <c r="F11" s="16" t="inlineStr">
        <is>
          <t>Host environment not inspected</t>
        </is>
      </c>
      <c r="G11" s="16" t="inlineStr">
        <is>
          <t>Unassigned</t>
        </is>
      </c>
      <c r="H11" s="16" t="inlineStr">
        <is>
          <t>Do not paste values</t>
        </is>
      </c>
    </row>
    <row r="12" ht="48" customHeight="1">
      <c r="A12" s="14" t="inlineStr">
        <is>
          <t>C11</t>
        </is>
      </c>
      <c r="B12" s="14" t="inlineStr">
        <is>
          <t>Security</t>
        </is>
      </c>
      <c r="C12" s="14" t="inlineStr">
        <is>
          <t>Secrets excluded from source control</t>
        </is>
      </c>
      <c r="D12" s="14" t="inlineStr">
        <is>
          <t>Yes</t>
        </is>
      </c>
      <c r="E12" s="14" t="inlineStr">
        <is>
          <t>Passed</t>
        </is>
      </c>
      <c r="F12" s="14" t="inlineStr">
        <is>
          <t>.env and .env.local are in .gitignore. git ls-files returned no env files.</t>
        </is>
      </c>
      <c r="G12" s="14" t="inlineStr">
        <is>
          <t>Unassigned</t>
        </is>
      </c>
      <c r="H12" s="14" t="inlineStr">
        <is>
          <t>Does not prove the host secret is strong</t>
        </is>
      </c>
    </row>
    <row r="13" ht="48" customHeight="1">
      <c r="A13" s="16" t="inlineStr">
        <is>
          <t>C12</t>
        </is>
      </c>
      <c r="B13" s="16" t="inlineStr">
        <is>
          <t>Configuration</t>
        </is>
      </c>
      <c r="C13" s="16" t="inlineStr">
        <is>
          <t>API URLs configured for the release host</t>
        </is>
      </c>
      <c r="D13" s="16" t="inlineStr">
        <is>
          <t>Yes</t>
        </is>
      </c>
      <c r="E13" s="16" t="inlineStr">
        <is>
          <t>Not Started</t>
        </is>
      </c>
      <c r="F13" s="16" t="inlineStr">
        <is>
          <t>README only lists localhost:8000 and localhost:5173</t>
        </is>
      </c>
      <c r="G13" s="16" t="inlineStr">
        <is>
          <t>Unassigned</t>
        </is>
      </c>
      <c r="H13" s="16" t="inlineStr"/>
    </row>
    <row r="14" ht="48" customHeight="1">
      <c r="A14" s="14" t="inlineStr">
        <is>
          <t>C13</t>
        </is>
      </c>
      <c r="B14" s="14" t="inlineStr">
        <is>
          <t>Security</t>
        </is>
      </c>
      <c r="C14" s="14" t="inlineStr">
        <is>
          <t>Authentication and permissions checked</t>
        </is>
      </c>
      <c r="D14" s="14" t="inlineStr">
        <is>
          <t>Yes</t>
        </is>
      </c>
      <c r="E14" s="14" t="inlineStr">
        <is>
          <t>Failed</t>
        </is>
      </c>
      <c r="F14" s="14" t="inlineStr">
        <is>
          <t>Customer-scope tests failed during setup. Staff tests were not in the FAIL list.</t>
        </is>
      </c>
      <c r="G14" s="14" t="inlineStr">
        <is>
          <t>Unassigned</t>
        </is>
      </c>
      <c r="H14" s="14" t="inlineStr"/>
    </row>
    <row r="15" ht="48" customHeight="1">
      <c r="A15" s="16" t="inlineStr">
        <is>
          <t>C14</t>
        </is>
      </c>
      <c r="B15" s="16" t="inlineStr">
        <is>
          <t>Data</t>
        </is>
      </c>
      <c r="C15" s="16" t="inlineStr">
        <is>
          <t>Import and export workflows validated</t>
        </is>
      </c>
      <c r="D15" s="16" t="inlineStr">
        <is>
          <t>Yes</t>
        </is>
      </c>
      <c r="E15" s="16" t="inlineStr">
        <is>
          <t>Failed</t>
        </is>
      </c>
      <c r="F15" s="16" t="inlineStr">
        <is>
          <t>Dispatch golden import failed. Price-list Excel tests had no FAIL lines. PDF import does not exist.</t>
        </is>
      </c>
      <c r="G15" s="16" t="inlineStr">
        <is>
          <t>Unassigned</t>
        </is>
      </c>
      <c r="H15" s="16" t="inlineStr"/>
    </row>
    <row r="16" ht="48" customHeight="1">
      <c r="A16" s="14" t="inlineStr">
        <is>
          <t>C15</t>
        </is>
      </c>
      <c r="B16" s="14" t="inlineStr">
        <is>
          <t>Data</t>
        </is>
      </c>
      <c r="C16" s="14" t="inlineStr">
        <is>
          <t>Critical business calculations checked</t>
        </is>
      </c>
      <c r="D16" s="14" t="inlineStr">
        <is>
          <t>Yes</t>
        </is>
      </c>
      <c r="E16" s="14" t="inlineStr">
        <is>
          <t>Failed</t>
        </is>
      </c>
      <c r="F16" s="14" t="inlineStr">
        <is>
          <t>Invoice and payment calculation tests did not get past purchase-order create</t>
        </is>
      </c>
      <c r="G16" s="14" t="inlineStr">
        <is>
          <t>Unassigned</t>
        </is>
      </c>
      <c r="H16" s="14" t="inlineStr"/>
    </row>
    <row r="17" ht="48" customHeight="1">
      <c r="A17" s="16" t="inlineStr">
        <is>
          <t>C16</t>
        </is>
      </c>
      <c r="B17" s="16" t="inlineStr">
        <is>
          <t>Deployment</t>
        </is>
      </c>
      <c r="C17" s="16" t="inlineStr">
        <is>
          <t>Production configuration reviewed</t>
        </is>
      </c>
      <c r="D17" s="16" t="inlineStr">
        <is>
          <t>Yes</t>
        </is>
      </c>
      <c r="E17" s="16" t="inlineStr">
        <is>
          <t>Not Started</t>
        </is>
      </c>
      <c r="F17" s="16" t="inlineStr">
        <is>
          <t>DEBUG default still true in code</t>
        </is>
      </c>
      <c r="G17" s="16" t="inlineStr">
        <is>
          <t>Unassigned</t>
        </is>
      </c>
      <c r="H17" s="16" t="inlineStr">
        <is>
          <t>Suspected until the host is seen</t>
        </is>
      </c>
    </row>
    <row r="18" ht="48" customHeight="1">
      <c r="A18" s="14" t="inlineStr">
        <is>
          <t>C17</t>
        </is>
      </c>
      <c r="B18" s="14" t="inlineStr">
        <is>
          <t>Deployment</t>
        </is>
      </c>
      <c r="C18" s="14" t="inlineStr">
        <is>
          <t>Deployment smoke tests passed</t>
        </is>
      </c>
      <c r="D18" s="14" t="inlineStr">
        <is>
          <t>Yes</t>
        </is>
      </c>
      <c r="E18" s="14" t="inlineStr">
        <is>
          <t>Not Started</t>
        </is>
      </c>
      <c r="F18" s="14" t="inlineStr">
        <is>
          <t>Not run</t>
        </is>
      </c>
      <c r="G18" s="14" t="inlineStr">
        <is>
          <t>Unassigned</t>
        </is>
      </c>
      <c r="H18" s="14" t="inlineStr"/>
    </row>
    <row r="19" ht="48" customHeight="1">
      <c r="A19" s="16" t="inlineStr">
        <is>
          <t>C18</t>
        </is>
      </c>
      <c r="B19" s="16" t="inlineStr">
        <is>
          <t>Deployment</t>
        </is>
      </c>
      <c r="C19" s="16" t="inlineStr">
        <is>
          <t>Rollback procedure documented</t>
        </is>
      </c>
      <c r="D19" s="16" t="inlineStr">
        <is>
          <t>Yes</t>
        </is>
      </c>
      <c r="E19" s="16" t="inlineStr">
        <is>
          <t>Not Started</t>
        </is>
      </c>
      <c r="F19" s="16" t="inlineStr">
        <is>
          <t>Not in README</t>
        </is>
      </c>
      <c r="G19" s="16" t="inlineStr">
        <is>
          <t>Unassigned</t>
        </is>
      </c>
      <c r="H19" s="16" t="inlineStr"/>
    </row>
    <row r="20" ht="48" customHeight="1">
      <c r="A20" s="14" t="inlineStr">
        <is>
          <t>C19</t>
        </is>
      </c>
      <c r="B20" s="14" t="inlineStr">
        <is>
          <t>Release</t>
        </is>
      </c>
      <c r="C20" s="14" t="inlineStr">
        <is>
          <t>Known limitations documented</t>
        </is>
      </c>
      <c r="D20" s="14" t="inlineStr">
        <is>
          <t>Yes</t>
        </is>
      </c>
      <c r="E20" s="14" t="inlineStr">
        <is>
          <t>In Progress</t>
        </is>
      </c>
      <c r="F20" s="14" t="inlineStr">
        <is>
          <t>This workbook</t>
        </is>
      </c>
      <c r="G20" s="14" t="inlineStr">
        <is>
          <t>Unassigned</t>
        </is>
      </c>
      <c r="H20" s="14" t="inlineStr">
        <is>
          <t>Must stay with the release decision</t>
        </is>
      </c>
    </row>
    <row r="21" ht="48" customHeight="1">
      <c r="A21" s="16" t="inlineStr">
        <is>
          <t>C20</t>
        </is>
      </c>
      <c r="B21" s="16" t="inlineStr">
        <is>
          <t>Release</t>
        </is>
      </c>
      <c r="C21" s="16" t="inlineStr">
        <is>
          <t>Final release approval recorded</t>
        </is>
      </c>
      <c r="D21" s="16" t="inlineStr">
        <is>
          <t>Yes</t>
        </is>
      </c>
      <c r="E21" s="16" t="inlineStr">
        <is>
          <t>Not Started</t>
        </is>
      </c>
      <c r="F21" s="16" t="inlineStr">
        <is>
          <t>No approver named</t>
        </is>
      </c>
      <c r="G21" s="16" t="inlineStr">
        <is>
          <t>Unassigned</t>
        </is>
      </c>
      <c r="H21" s="16" t="inlineStr">
        <is>
          <t>Do not mark Passed from this audit</t>
        </is>
      </c>
    </row>
    <row r="23">
      <c r="A23" s="11" t="inlineStr">
        <is>
          <t>Mandatory items not passed</t>
        </is>
      </c>
      <c r="B23">
        <f>COUNTIFS(D2:D21,"Yes",E2:E21,"&lt;&gt;Passed")</f>
        <v/>
      </c>
    </row>
  </sheetData>
  <autoFilter ref="A1:H21"/>
  <conditionalFormatting sqref="E2:E21">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dataValidations count="2">
    <dataValidation sqref="D2:D21" showDropDown="0" showInputMessage="0" showErrorMessage="0" allowBlank="0" errorTitle="Invalid status" error="Choose a value from the list." type="list">
      <formula1>=Lists!$F$1:$F$2</formula1>
    </dataValidation>
    <dataValidation sqref="E2:E21" showDropDown="0" showInputMessage="0" showErrorMessage="0" allowBlank="0" errorTitle="Invalid status" error="Choose a value from the list." type="list">
      <formula1>=Lists!$E$1:$E$6</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14"/>
  <sheetViews>
    <sheetView showGridLines="0" zoomScale="11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62" customWidth="1" min="3" max="3"/>
    <col width="28" customWidth="1" min="4" max="4"/>
    <col width="16" customWidth="1" min="5" max="5"/>
    <col width="14" customWidth="1" min="6" max="6"/>
    <col width="12" customWidth="1" min="7" max="7"/>
    <col width="55" customWidth="1" min="8" max="8"/>
    <col width="28" customWidth="1" min="9" max="9"/>
    <col width="18" customWidth="1" min="10" max="10"/>
    <col width="28" customWidth="1" min="12" max="12"/>
    <col width="42" customWidth="1" min="13" max="13"/>
  </cols>
  <sheetData>
    <row r="1" ht="32" customHeight="1">
      <c r="A1" s="13" t="inlineStr">
        <is>
          <t>Evidence ID</t>
        </is>
      </c>
      <c r="B1" s="13" t="inlineStr">
        <is>
          <t>Component</t>
        </is>
      </c>
      <c r="C1" s="13" t="inlineStr">
        <is>
          <t>Command / Inspection</t>
        </is>
      </c>
      <c r="D1" s="13" t="inlineStr">
        <is>
          <t>Working Directory</t>
        </is>
      </c>
      <c r="E1" s="13" t="inlineStr">
        <is>
          <t>Execution Date</t>
        </is>
      </c>
      <c r="F1" s="13" t="inlineStr">
        <is>
          <t>Result</t>
        </is>
      </c>
      <c r="G1" s="13" t="inlineStr">
        <is>
          <t>Exit Code</t>
        </is>
      </c>
      <c r="H1" s="13" t="inlineStr">
        <is>
          <t>Summary</t>
        </is>
      </c>
      <c r="I1" s="13" t="inlineStr">
        <is>
          <t>Log / File Reference</t>
        </is>
      </c>
      <c r="J1" s="13" t="inlineStr">
        <is>
          <t>Follow-up Required</t>
        </is>
      </c>
      <c r="L1" s="27" t="inlineStr">
        <is>
          <t>Suite metric</t>
        </is>
      </c>
      <c r="M1" s="27" t="inlineStr">
        <is>
          <t>Value</t>
        </is>
      </c>
    </row>
    <row r="2" ht="48" customHeight="1">
      <c r="A2" s="14" t="inlineStr">
        <is>
          <t>E01</t>
        </is>
      </c>
      <c r="B2" s="14" t="inlineStr">
        <is>
          <t>Git</t>
        </is>
      </c>
      <c r="C2" s="14" t="inlineStr">
        <is>
          <t>git branch --show-current; git log -8 --oneline; git rev-parse --short HEAD</t>
        </is>
      </c>
      <c r="D2" s="14" t="inlineStr">
        <is>
          <t>D:\ariav-erp</t>
        </is>
      </c>
      <c r="E2" s="18" t="n">
        <v>46311</v>
      </c>
      <c r="F2" s="14" t="inlineStr">
        <is>
          <t>Passed</t>
        </is>
      </c>
      <c r="G2" s="14" t="inlineStr">
        <is>
          <t>0</t>
        </is>
      </c>
      <c r="H2" s="14" t="inlineStr">
        <is>
          <t>Branch fix/rename-repair. HEAD c326fdf. Latest subject: test: lock OCM dispatch import golden behavior.</t>
        </is>
      </c>
      <c r="I2" s="14" t="inlineStr">
        <is>
          <t>Command output 16 Oct 2026</t>
        </is>
      </c>
      <c r="J2" s="14" t="inlineStr">
        <is>
          <t>No</t>
        </is>
      </c>
      <c r="L2" t="inlineStr">
        <is>
          <t>Django tests passed</t>
        </is>
      </c>
      <c r="M2" t="n">
        <v>198</v>
      </c>
    </row>
    <row r="3" ht="48" customHeight="1">
      <c r="A3" s="16" t="inlineStr">
        <is>
          <t>E02</t>
        </is>
      </c>
      <c r="B3" s="16" t="inlineStr">
        <is>
          <t>Git</t>
        </is>
      </c>
      <c r="C3" s="16" t="inlineStr">
        <is>
          <t>git status --porcelain | measure; git diff --stat HEAD</t>
        </is>
      </c>
      <c r="D3" s="16" t="inlineStr">
        <is>
          <t>D:\ariav-erp</t>
        </is>
      </c>
      <c r="E3" s="19" t="n">
        <v>46311</v>
      </c>
      <c r="F3" s="16" t="inlineStr">
        <is>
          <t>Passed</t>
        </is>
      </c>
      <c r="G3" s="16" t="inlineStr">
        <is>
          <t>0</t>
        </is>
      </c>
      <c r="H3" s="16" t="inlineStr">
        <is>
          <t>131 porcelain lines. Diff stat: 103 files changed, 4090 insertions, 1084 deletions.</t>
        </is>
      </c>
      <c r="I3" s="16" t="inlineStr">
        <is>
          <t>Command output 16 Oct 2026</t>
        </is>
      </c>
      <c r="J3" s="16" t="inlineStr">
        <is>
          <t>Yes</t>
        </is>
      </c>
      <c r="L3" t="inlineStr">
        <is>
          <t>Django tests failed</t>
        </is>
      </c>
      <c r="M3" t="n">
        <v>66</v>
      </c>
    </row>
    <row r="4" ht="48" customHeight="1">
      <c r="A4" s="14" t="inlineStr">
        <is>
          <t>E03</t>
        </is>
      </c>
      <c r="B4" s="14" t="inlineStr">
        <is>
          <t>Git</t>
        </is>
      </c>
      <c r="C4" s="14" t="inlineStr">
        <is>
          <t>git ls-files for .env; .gitignore env lines</t>
        </is>
      </c>
      <c r="D4" s="14" t="inlineStr">
        <is>
          <t>D:\ariav-erp</t>
        </is>
      </c>
      <c r="E4" s="18" t="n">
        <v>46311</v>
      </c>
      <c r="F4" s="14" t="inlineStr">
        <is>
          <t>Passed</t>
        </is>
      </c>
      <c r="G4" s="14" t="inlineStr">
        <is>
          <t>0</t>
        </is>
      </c>
      <c r="H4" s="14" t="inlineStr">
        <is>
          <t>No env file is tracked. .gitignore lists .env and .env.local. File contents were not opened.</t>
        </is>
      </c>
      <c r="I4" s="14" t="inlineStr">
        <is>
          <t>.gitignore</t>
        </is>
      </c>
      <c r="J4" s="14" t="inlineStr">
        <is>
          <t>No</t>
        </is>
      </c>
      <c r="L4" t="inlineStr">
        <is>
          <t>Django tests run</t>
        </is>
      </c>
      <c r="M4">
        <f>M2+M3</f>
        <v/>
      </c>
    </row>
    <row r="5" ht="48" customHeight="1">
      <c r="A5" s="16" t="inlineStr">
        <is>
          <t>E04</t>
        </is>
      </c>
      <c r="B5" s="16" t="inlineStr">
        <is>
          <t>Backend</t>
        </is>
      </c>
      <c r="C5" s="16" t="inlineStr">
        <is>
          <t>.\.venv\Scripts\python.exe manage.py check</t>
        </is>
      </c>
      <c r="D5" s="16" t="inlineStr">
        <is>
          <t>D:\ariav-erp\backend</t>
        </is>
      </c>
      <c r="E5" s="19" t="n">
        <v>46311</v>
      </c>
      <c r="F5" s="16" t="inlineStr">
        <is>
          <t>Passed</t>
        </is>
      </c>
      <c r="G5" s="16" t="inlineStr">
        <is>
          <t>0</t>
        </is>
      </c>
      <c r="H5" s="16" t="inlineStr">
        <is>
          <t>System check identified no issues (0 silenced).</t>
        </is>
      </c>
      <c r="I5" s="16" t="inlineStr">
        <is>
          <t>16 Oct 2026</t>
        </is>
      </c>
      <c r="J5" s="16" t="inlineStr">
        <is>
          <t>No</t>
        </is>
      </c>
      <c r="L5" t="inlineStr">
        <is>
          <t>Source</t>
        </is>
      </c>
      <c r="M5" t="inlineStr">
        <is>
          <t>E09 on 16 Oct 2026: Ran 264, FAILED failures=66. 198 = 264 - 66. Not a per-test listing.</t>
        </is>
      </c>
    </row>
    <row r="6" ht="48" customHeight="1">
      <c r="A6" s="14" t="inlineStr">
        <is>
          <t>E05</t>
        </is>
      </c>
      <c r="B6" s="14" t="inlineStr">
        <is>
          <t>Backend</t>
        </is>
      </c>
      <c r="C6" s="14" t="inlineStr">
        <is>
          <t>manage.py showmigrations --plan filtered for an unapplied mark</t>
        </is>
      </c>
      <c r="D6" s="14" t="inlineStr">
        <is>
          <t>D:\ariav-erp\backend</t>
        </is>
      </c>
      <c r="E6" s="18" t="n">
        <v>46311</v>
      </c>
      <c r="F6" s="14" t="inlineStr">
        <is>
          <t>Passed</t>
        </is>
      </c>
      <c r="G6" s="14" t="inlineStr">
        <is>
          <t>0</t>
        </is>
      </c>
      <c r="H6" s="14" t="inlineStr">
        <is>
          <t>Filter returned no lines, so no unapplied migration was listed.</t>
        </is>
      </c>
      <c r="I6" s="14" t="inlineStr">
        <is>
          <t>16 Oct 2026</t>
        </is>
      </c>
      <c r="J6" s="14" t="inlineStr">
        <is>
          <t>No</t>
        </is>
      </c>
    </row>
    <row r="7" ht="48" customHeight="1">
      <c r="A7" s="16" t="inlineStr">
        <is>
          <t>E06</t>
        </is>
      </c>
      <c r="B7" s="16" t="inlineStr">
        <is>
          <t>Frontend</t>
        </is>
      </c>
      <c r="C7" s="16" t="inlineStr">
        <is>
          <t>npm run lint</t>
        </is>
      </c>
      <c r="D7" s="16" t="inlineStr">
        <is>
          <t>D:\ariav-erp\frontend</t>
        </is>
      </c>
      <c r="E7" s="19" t="n">
        <v>46311</v>
      </c>
      <c r="F7" s="16" t="inlineStr">
        <is>
          <t>Passed</t>
        </is>
      </c>
      <c r="G7" s="16" t="inlineStr">
        <is>
          <t>0</t>
        </is>
      </c>
      <c r="H7" s="16" t="inlineStr">
        <is>
          <t>tsc --noEmit completed with no errors.</t>
        </is>
      </c>
      <c r="I7" s="16" t="inlineStr">
        <is>
          <t>16 Oct 2026</t>
        </is>
      </c>
      <c r="J7" s="16" t="inlineStr">
        <is>
          <t>No</t>
        </is>
      </c>
    </row>
    <row r="8" ht="48" customHeight="1">
      <c r="A8" s="14" t="inlineStr">
        <is>
          <t>E07</t>
        </is>
      </c>
      <c r="B8" s="14" t="inlineStr">
        <is>
          <t>Frontend</t>
        </is>
      </c>
      <c r="C8" s="14" t="inlineStr">
        <is>
          <t>npm run build</t>
        </is>
      </c>
      <c r="D8" s="14" t="inlineStr">
        <is>
          <t>D:\ariav-erp\frontend</t>
        </is>
      </c>
      <c r="E8" s="18" t="n">
        <v>46311</v>
      </c>
      <c r="F8" s="14" t="inlineStr">
        <is>
          <t>Passed</t>
        </is>
      </c>
      <c r="G8" s="14" t="inlineStr">
        <is>
          <t>0</t>
        </is>
      </c>
      <c r="H8" s="14" t="inlineStr">
        <is>
          <t>Vite build in 25.67s. Warning: JS chunk larger than 500 kB (1,567.10 kB).</t>
        </is>
      </c>
      <c r="I8" s="14" t="inlineStr">
        <is>
          <t>16 Oct 2026 build log</t>
        </is>
      </c>
      <c r="J8" s="14" t="inlineStr">
        <is>
          <t>No</t>
        </is>
      </c>
    </row>
    <row r="9" ht="48" customHeight="1">
      <c r="A9" s="16" t="inlineStr">
        <is>
          <t>E08</t>
        </is>
      </c>
      <c r="B9" s="16" t="inlineStr">
        <is>
          <t>Frontend</t>
        </is>
      </c>
      <c r="C9" s="16" t="inlineStr">
        <is>
          <t>npx tsx src/utils/dateFilters.test.ts</t>
        </is>
      </c>
      <c r="D9" s="16" t="inlineStr">
        <is>
          <t>D:\ariav-erp\frontend</t>
        </is>
      </c>
      <c r="E9" s="19" t="n">
        <v>46311</v>
      </c>
      <c r="F9" s="16" t="inlineStr">
        <is>
          <t>Passed</t>
        </is>
      </c>
      <c r="G9" s="16" t="inlineStr">
        <is>
          <t>0</t>
        </is>
      </c>
      <c r="H9" s="16" t="inlineStr">
        <is>
          <t>Printed invoice date filter helper tests passed.</t>
        </is>
      </c>
      <c r="I9" s="16" t="inlineStr">
        <is>
          <t>16 Oct 2026</t>
        </is>
      </c>
      <c r="J9" s="16" t="inlineStr">
        <is>
          <t>No</t>
        </is>
      </c>
    </row>
    <row r="10" ht="48" customHeight="1">
      <c r="A10" s="14" t="inlineStr">
        <is>
          <t>E09</t>
        </is>
      </c>
      <c r="B10" s="14" t="inlineStr">
        <is>
          <t>Backend</t>
        </is>
      </c>
      <c r="C10" s="14" t="inlineStr">
        <is>
          <t>.\.venv\Scripts\python.exe manage.py test --verbosity 1</t>
        </is>
      </c>
      <c r="D10" s="14" t="inlineStr">
        <is>
          <t>D:\ariav-erp\backend</t>
        </is>
      </c>
      <c r="E10" s="18" t="n">
        <v>46311</v>
      </c>
      <c r="F10" s="14" t="inlineStr">
        <is>
          <t>Failed</t>
        </is>
      </c>
      <c r="G10" s="14" t="inlineStr">
        <is>
          <t>1</t>
        </is>
      </c>
      <c r="H10" s="14" t="inlineStr">
        <is>
          <t>264 tests, 324.962 seconds, 66 failures, 198 passed. Isolated test database was created and destroyed. Live data was not migrated by this command.</t>
        </is>
      </c>
      <c r="I10" s="14" t="inlineStr">
        <is>
          <t>Suite log 16 Oct 2026</t>
        </is>
      </c>
      <c r="J10" s="14" t="inlineStr">
        <is>
          <t>Yes</t>
        </is>
      </c>
    </row>
    <row r="11" ht="48" customHeight="1">
      <c r="A11" s="16" t="inlineStr">
        <is>
          <t>E10</t>
        </is>
      </c>
      <c r="B11" s="16" t="inlineStr">
        <is>
          <t>Source</t>
        </is>
      </c>
      <c r="C11" s="16" t="inlineStr">
        <is>
          <t>Read YearEndClosingScreen, BackupScreen, TrialBalanceScreen, SalesRegisterScreen, voucher screens, OrderFormScreen, AuditLogScreen, App.tsx routes, settings.py DEBUG block</t>
        </is>
      </c>
      <c r="D11" s="16" t="inlineStr">
        <is>
          <t>D:\ariav-erp</t>
        </is>
      </c>
      <c r="E11" s="19" t="n">
        <v>46311</v>
      </c>
      <c r="F11" s="16" t="inlineStr">
        <is>
          <t>Passed</t>
        </is>
      </c>
      <c r="G11" s="16" t="inlineStr"/>
      <c r="H11" s="16" t="inlineStr">
        <is>
          <t>Sample screens and the year-end PIN condition confirmed in source. No runtime click-through.</t>
        </is>
      </c>
      <c r="I11" s="16" t="inlineStr">
        <is>
          <t>File paths in the bug sheet</t>
        </is>
      </c>
      <c r="J11" s="16" t="inlineStr">
        <is>
          <t>Yes</t>
        </is>
      </c>
    </row>
    <row r="12" ht="48" customHeight="1">
      <c r="A12" s="14" t="inlineStr">
        <is>
          <t>E11</t>
        </is>
      </c>
      <c r="B12" s="14" t="inlineStr">
        <is>
          <t>Source</t>
        </is>
      </c>
      <c r="C12" s="14" t="inlineStr">
        <is>
          <t>Search for import-pdf and pdfplumber in Python files</t>
        </is>
      </c>
      <c r="D12" s="14" t="inlineStr">
        <is>
          <t>D:\ariav-erp\backend</t>
        </is>
      </c>
      <c r="E12" s="18" t="n">
        <v>46311</v>
      </c>
      <c r="F12" s="14" t="inlineStr">
        <is>
          <t>Passed</t>
        </is>
      </c>
      <c r="G12" s="14" t="inlineStr"/>
      <c r="H12" s="14" t="inlineStr">
        <is>
          <t>No PDF import implementation. BrandQualityPrice model exists.</t>
        </is>
      </c>
      <c r="I12" s="14" t="inlineStr">
        <is>
          <t>price_lists/models.py</t>
        </is>
      </c>
      <c r="J12" s="14" t="inlineStr">
        <is>
          <t>Yes</t>
        </is>
      </c>
    </row>
    <row r="13" ht="48" customHeight="1">
      <c r="A13" s="16" t="inlineStr">
        <is>
          <t>E12</t>
        </is>
      </c>
      <c r="B13" s="16" t="inlineStr">
        <is>
          <t>Deployment</t>
        </is>
      </c>
      <c r="C13" s="16" t="inlineStr">
        <is>
          <t>Production smoke, backup restore, host environment</t>
        </is>
      </c>
      <c r="D13" s="16" t="inlineStr">
        <is>
          <t>Not run</t>
        </is>
      </c>
      <c r="E13" s="19" t="n">
        <v>46311</v>
      </c>
      <c r="F13" s="16" t="inlineStr">
        <is>
          <t>Not Run</t>
        </is>
      </c>
      <c r="G13" s="16" t="inlineStr"/>
      <c r="H13" s="16" t="inlineStr">
        <is>
          <t>No release host was available. Not executed on purpose.</t>
        </is>
      </c>
      <c r="I13" s="16" t="inlineStr">
        <is>
          <t>README.md localhost only</t>
        </is>
      </c>
      <c r="J13" s="16" t="inlineStr">
        <is>
          <t>Yes</t>
        </is>
      </c>
    </row>
    <row r="14" ht="48" customHeight="1">
      <c r="A14" s="14" t="inlineStr">
        <is>
          <t>E13</t>
        </is>
      </c>
      <c r="B14" s="14" t="inlineStr">
        <is>
          <t>Backend</t>
        </is>
      </c>
      <c r="C14" s="14" t="inlineStr">
        <is>
          <t>Test failure grouping</t>
        </is>
      </c>
      <c r="D14" s="14" t="inlineStr">
        <is>
          <t>Suite log</t>
        </is>
      </c>
      <c r="E14" s="18" t="n">
        <v>46311</v>
      </c>
      <c r="F14" s="14" t="inlineStr">
        <is>
          <t>Passed</t>
        </is>
      </c>
      <c r="G14" s="14" t="inlineStr"/>
      <c r="H14" s="14" t="inlineStr">
        <is>
          <t>Fail counts: invoices 16, payments 15, accounts 13, dispatches 10, ledger 7, customers 3, notifications 2. 65 messages are brand-not-mapped. 1 is preview versus commit.</t>
        </is>
      </c>
      <c r="I14" s="14" t="inlineStr">
        <is>
          <t>Parsed FAIL lines</t>
        </is>
      </c>
      <c r="J14" s="14" t="inlineStr">
        <is>
          <t>Yes</t>
        </is>
      </c>
    </row>
  </sheetData>
  <autoFilter ref="A1:J14"/>
  <conditionalFormatting sqref="F2:F14">
    <cfRule type="expression" priority="1" dxfId="0">
      <formula>EXACT(A1,"Completed")</formula>
    </cfRule>
    <cfRule type="expression" priority="2" dxfId="0">
      <formula>EXACT(A1,"Passed")</formula>
    </cfRule>
    <cfRule type="expression" priority="3" dxfId="0">
      <formula>EXACT(A1,"Verified")</formula>
    </cfRule>
    <cfRule type="expression" priority="4" dxfId="0">
      <formula>EXACT(A1,"Yes")</formula>
    </cfRule>
    <cfRule type="expression" priority="5" dxfId="1">
      <formula>EXACT(A1,"In Progress")</formula>
    </cfRule>
    <cfRule type="expression" priority="6" dxfId="1">
      <formula>EXACT(A1,"Ready for Verification")</formula>
    </cfRule>
    <cfRule type="expression" priority="7" dxfId="1">
      <formula>EXACT(A1,"Pending")</formula>
    </cfRule>
    <cfRule type="expression" priority="8" dxfId="1">
      <formula>EXACT(A1,"Not Started")</formula>
    </cfRule>
    <cfRule type="expression" priority="9" dxfId="2">
      <formula>EXACT(A1,"Failed")</formula>
    </cfRule>
    <cfRule type="expression" priority="10" dxfId="2">
      <formula>EXACT(A1,"Blocked")</formula>
    </cfRule>
    <cfRule type="expression" priority="11" dxfId="2">
      <formula>EXACT(A1,"Open")</formula>
    </cfRule>
    <cfRule type="expression" priority="12" dxfId="2">
      <formula>EXACT(A1,"Critical")</formula>
    </cfRule>
    <cfRule type="expression" priority="13" dxfId="3">
      <formula>EXACT(A1,"High")</formula>
    </cfRule>
    <cfRule type="expression" priority="14" dxfId="4">
      <formula>EXACT(A1,"Not Verified")</formula>
    </cfRule>
    <cfRule type="expression" priority="15" dxfId="4">
      <formula>EXACT(A1,"Not Run")</formula>
    </cfRule>
    <cfRule type="expression" priority="16" dxfId="4">
      <formula>EXACT(A1,"Not Applicable")</formula>
    </cfRule>
    <cfRule type="expression" priority="17" dxfId="4">
      <formula>EXACT(A1,"Deferred")</formula>
    </cfRule>
    <cfRule type="expression" priority="18" dxfId="5">
      <formula>EXACT(A1,"Fixed")</formula>
    </cfRule>
    <cfRule type="expression" priority="19" dxfId="1">
      <formula>EXACT(A1,"Suspected")</formula>
    </cfRule>
    <cfRule type="expression" priority="20" dxfId="2">
      <formula>EXACT(A1,"Confirmed")</formula>
    </cfRule>
    <cfRule type="expression" priority="21" dxfId="4">
      <formula>EXACT(A1,"No")</formula>
    </cfRule>
  </conditionalFormatting>
  <dataValidations count="2">
    <dataValidation sqref="F2:F14" showDropDown="0" showInputMessage="0" showErrorMessage="0" allowBlank="0" errorTitle="Invalid status" error="Choose a value from the list." type="list">
      <formula1>=Lists!$D$1:$D$5</formula1>
    </dataValidation>
    <dataValidation sqref="J2:J14" showDropDown="0" showInputMessage="0" showErrorMessage="0" allowBlank="0" errorTitle="Invalid status" error="Choose a value from the list." type="list">
      <formula1>=Lists!$F$1:$F$2</formula1>
    </dataValidation>
  </dataValidations>
  <pageMargins left="0.75" right="0.75" top="1" bottom="1" header="0.5" footer="0.5"/>
  <pageSetup orientation="landscape" paperSize="3" fitToHeight="0" fitToWidth="1"/>
  <headerFooter>
    <oddHeader>&amp;LAriav ERP delivery tracker — 16 October 2026</oddHeader>
    <oddFooter>&amp;REvidence-based audit  |  Page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How this workbook was scored</t>
        </is>
      </c>
    </row>
    <row r="3" ht="30" customHeight="1">
      <c r="A3" s="8" t="inlineStr">
        <is>
          <t>This file records an inspection on 16 October 2026. It is not a project plan written in advance.
Module completion = (implementation up to 40 + integration up to 30 + testing up to 30) / 100. Testing points are withheld when that area failed, or when no test was run.
Overall completion is the weight-weighted average of those percentages. It is provisional because the navigation still contains sample screens.
Task completion counts Status = Completed. Bug resolution counts Status = Verified only. Test pass rate uses Passed / (Passed + Failed) and leaves Not Run and Not Applicable out of that division.
Release decision is Not Ready while a critical bug is open, a testing row is Failed, or a mandatory checklist row is not Passed.
Yellow cells on Today's Delivery Plan are inputs. Everything else with a formula should be left alone.
No passwords, tokens, or customer records were copied here. Owners are Unassigned because the repository does not name a team.</t>
        </is>
      </c>
    </row>
    <row r="4"/>
    <row r="5"/>
    <row r="6"/>
    <row r="7"/>
    <row r="8"/>
  </sheetData>
  <mergeCells count="1">
    <mergeCell ref="A3:F8"/>
  </mergeCells>
  <pageMargins left="0.75" right="0.75" top="1" bottom="1" header="0.5" footer="0.5"/>
  <pageSetup orientation="landscape"/>
  <headerFooter>
    <oddHeader/>
    <oddFooter>&amp;RAriav ERP delivery tracker</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Completed</t>
        </is>
      </c>
      <c r="B1" t="inlineStr">
        <is>
          <t>Critical</t>
        </is>
      </c>
      <c r="C1" t="inlineStr">
        <is>
          <t>Open</t>
        </is>
      </c>
      <c r="D1" t="inlineStr">
        <is>
          <t>Passed</t>
        </is>
      </c>
      <c r="E1" t="inlineStr">
        <is>
          <t>Not Started</t>
        </is>
      </c>
      <c r="F1" t="inlineStr">
        <is>
          <t>Yes</t>
        </is>
      </c>
      <c r="G1" t="inlineStr">
        <is>
          <t>Confirmed</t>
        </is>
      </c>
      <c r="H1" t="inlineStr">
        <is>
          <t>Ready for Release</t>
        </is>
      </c>
    </row>
    <row r="2">
      <c r="A2" t="inlineStr">
        <is>
          <t>In Progress</t>
        </is>
      </c>
      <c r="B2" t="inlineStr">
        <is>
          <t>High</t>
        </is>
      </c>
      <c r="C2" t="inlineStr">
        <is>
          <t>In Progress</t>
        </is>
      </c>
      <c r="D2" t="inlineStr">
        <is>
          <t>Failed</t>
        </is>
      </c>
      <c r="E2" t="inlineStr">
        <is>
          <t>In Progress</t>
        </is>
      </c>
      <c r="F2" t="inlineStr">
        <is>
          <t>No</t>
        </is>
      </c>
      <c r="G2" t="inlineStr">
        <is>
          <t>Suspected</t>
        </is>
      </c>
      <c r="H2" t="inlineStr">
        <is>
          <t>Conditionally Ready</t>
        </is>
      </c>
    </row>
    <row r="3">
      <c r="A3" t="inlineStr">
        <is>
          <t>Pending</t>
        </is>
      </c>
      <c r="B3" t="inlineStr">
        <is>
          <t>Medium</t>
        </is>
      </c>
      <c r="C3" t="inlineStr">
        <is>
          <t>Fixed</t>
        </is>
      </c>
      <c r="D3" t="inlineStr">
        <is>
          <t>Blocked</t>
        </is>
      </c>
      <c r="E3" t="inlineStr">
        <is>
          <t>Passed</t>
        </is>
      </c>
      <c r="H3" t="inlineStr">
        <is>
          <t>Not Ready</t>
        </is>
      </c>
    </row>
    <row r="4">
      <c r="A4" t="inlineStr">
        <is>
          <t>Blocked</t>
        </is>
      </c>
      <c r="B4" t="inlineStr">
        <is>
          <t>Low</t>
        </is>
      </c>
      <c r="C4" t="inlineStr">
        <is>
          <t>Ready for Verification</t>
        </is>
      </c>
      <c r="D4" t="inlineStr">
        <is>
          <t>Not Run</t>
        </is>
      </c>
      <c r="E4" t="inlineStr">
        <is>
          <t>Failed</t>
        </is>
      </c>
      <c r="H4" t="inlineStr">
        <is>
          <t>Not Assessed</t>
        </is>
      </c>
    </row>
    <row r="5">
      <c r="A5" t="inlineStr">
        <is>
          <t>Not Verified</t>
        </is>
      </c>
      <c r="B5" t="inlineStr">
        <is>
          <t>Informational</t>
        </is>
      </c>
      <c r="C5" t="inlineStr">
        <is>
          <t>Verified</t>
        </is>
      </c>
      <c r="D5" t="inlineStr">
        <is>
          <t>Not Applicable</t>
        </is>
      </c>
      <c r="E5" t="inlineStr">
        <is>
          <t>Blocked</t>
        </is>
      </c>
    </row>
    <row r="6">
      <c r="A6" t="inlineStr">
        <is>
          <t>Deferred</t>
        </is>
      </c>
      <c r="C6" t="inlineStr">
        <is>
          <t>Reopened</t>
        </is>
      </c>
      <c r="E6" t="inlineStr">
        <is>
          <t>Not Applicable</t>
        </is>
      </c>
    </row>
    <row r="7">
      <c r="C7" t="inlineStr">
        <is>
          <t>Deferred</t>
        </is>
      </c>
    </row>
    <row r="8">
      <c r="C8" t="inlineStr">
        <is>
          <t>Blocked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2026-10-16T05:43:51Z</dcterms:created>
  <dcterms:modified xsi:type="dcterms:W3CDTF">2026-10-16T05:47:27Z</dcterms:modified>
</cp:coreProperties>
</file>